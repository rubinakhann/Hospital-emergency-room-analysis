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3008F23-B810-4363-8AD5-A5FD4FFD32C0}" xr6:coauthVersionLast="47" xr6:coauthVersionMax="47" xr10:uidLastSave="{00000000-0000-0000-0000-000000000000}"/>
  <bookViews>
    <workbookView xWindow="-108" yWindow="-108" windowWidth="23256" windowHeight="12456" tabRatio="618" activeTab="1" xr2:uid="{7FA387D0-CEB3-4EF6-8B29-89386E8F8D12}"/>
  </bookViews>
  <sheets>
    <sheet name="Sheet1" sheetId="2" r:id="rId1"/>
    <sheet name="Dashboard" sheetId="4" r:id="rId2"/>
  </sheets>
  <definedNames>
    <definedName name="Slicer_Date__Month">#N/A</definedName>
    <definedName name="Slic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c688e2d-a8a1-49d6-9a2c-e1bb8062eef3" name="Hospital Emergency Room Data" connection="Query - Hospital Emergency Room Data"/>
          <x15:modelTable id="Calendar_Table_446aa231-d506-4019-8597-a14eba27e79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 i="2" l="1"/>
  <c r="H11" i="2"/>
  <c r="G10" i="2"/>
  <c r="H10" i="2"/>
  <c r="F11" i="2"/>
  <c r="F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974E45-3064-43DF-AAFB-BFC0CF159844}" name="Query - Calendar_Table" description="Connection to the 'Calendar_Table' query in the workbook." type="100" refreshedVersion="7" minRefreshableVersion="5">
    <extLst>
      <ext xmlns:x15="http://schemas.microsoft.com/office/spreadsheetml/2010/11/main" uri="{DE250136-89BD-433C-8126-D09CA5730AF9}">
        <x15:connection id="9e555d48-c7e5-4f43-b17e-0c98978ebd13"/>
      </ext>
    </extLst>
  </connection>
  <connection id="2" xr16:uid="{9800ADD4-F6FF-4D02-B37D-6F4B57A9ACD7}"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6b19c487-46a6-4380-a496-32ea41d76ad7"/>
      </ext>
    </extLst>
  </connection>
  <connection id="3" xr16:uid="{B717818E-BE80-4A78-A8BE-B6657742DAB1}"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<sst xmlns="http://schemas.openxmlformats.org/spreadsheetml/2006/main" count="83" uniqueCount="69">
  <si>
    <t>Distinct Count of Patient Id</t>
  </si>
  <si>
    <t>No. of Patient</t>
  </si>
  <si>
    <t>Average of Patient Waittime</t>
  </si>
  <si>
    <t>Average of Patient Satisfaction Score</t>
  </si>
  <si>
    <t>Row Labels</t>
  </si>
  <si>
    <t>Grand Total</t>
  </si>
  <si>
    <t>Admitted</t>
  </si>
  <si>
    <t>Not Admitted</t>
  </si>
  <si>
    <t>Count of Patient Admission Flag2</t>
  </si>
  <si>
    <t>Admission Status</t>
  </si>
  <si>
    <t>% Status</t>
  </si>
  <si>
    <t>CounofPatiAdFlag</t>
  </si>
  <si>
    <t>0-09</t>
  </si>
  <si>
    <t>10-19</t>
  </si>
  <si>
    <t>20-29</t>
  </si>
  <si>
    <t>30-39</t>
  </si>
  <si>
    <t>40-49</t>
  </si>
  <si>
    <t>50-59</t>
  </si>
  <si>
    <t>60-69</t>
  </si>
  <si>
    <t>70-79</t>
  </si>
  <si>
    <t>Count of Age Group</t>
  </si>
  <si>
    <t>Count of Patient Id</t>
  </si>
  <si>
    <t>Ontime</t>
  </si>
  <si>
    <t>Delay</t>
  </si>
  <si>
    <t>Count of Patient Attend Status</t>
  </si>
  <si>
    <t>Female</t>
  </si>
  <si>
    <t>Male</t>
  </si>
  <si>
    <t>Cardiology</t>
  </si>
  <si>
    <t>Gastroenterology</t>
  </si>
  <si>
    <t>General Practice</t>
  </si>
  <si>
    <t>Neurology</t>
  </si>
  <si>
    <t>None</t>
  </si>
  <si>
    <t>Orthopedics</t>
  </si>
  <si>
    <t>Physiotherapy</t>
  </si>
  <si>
    <t>Renal</t>
  </si>
  <si>
    <t>Count of Department Referral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</si>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</sst>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rgb="FFEEF2F7"/>
        <bgColor indexed="64"/>
      </patternFill>
    </fill>
    <fill>
      <patternFill patternType="solid">
        <fgColor theme="4" tint="0.59999389629810485"/>
        <bgColor indexed="64"/>
      </patternFill>
    </fill>
    <fill>
      <patternFill patternType="solid">
        <fgColor rgb="FF0B2A4A"/>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Border="1"/>
    <xf numFmtId="10" fontId="0" fillId="0" borderId="0" xfId="0" applyNumberFormat="1"/>
    <xf numFmtId="0" fontId="0" fillId="3" borderId="0" xfId="0" applyFill="1"/>
    <xf numFmtId="0" fontId="2" fillId="4" borderId="0" xfId="0" applyFont="1" applyFill="1" applyAlignment="1">
      <alignment horizontal="center"/>
    </xf>
    <xf numFmtId="0" fontId="0" fillId="5" borderId="0" xfId="0" applyFill="1" applyAlignment="1">
      <alignment horizontal="center"/>
    </xf>
    <xf numFmtId="10" fontId="0" fillId="5" borderId="0" xfId="1" applyNumberFormat="1" applyFont="1" applyFill="1" applyAlignment="1">
      <alignment horizontal="center"/>
    </xf>
    <xf numFmtId="0" fontId="0" fillId="5" borderId="0" xfId="0" applyFill="1"/>
  </cellXfs>
  <cellStyles count="2">
    <cellStyle name="Normal" xfId="0" builtinId="0"/>
    <cellStyle name="Percent" xfId="1" builtinId="5"/>
  </cellStyles>
  <dxfs count="4">
    <dxf>
      <font>
        <b/>
        <color theme="1"/>
      </font>
      <border>
        <bottom style="thin">
          <color theme="4"/>
        </bottom>
        <vertical/>
        <horizontal/>
      </border>
    </dxf>
    <dxf>
      <font>
        <b val="0"/>
        <i val="0"/>
        <sz val="7"/>
        <color theme="6"/>
        <name val="Segoe UI Semibold"/>
        <family val="2"/>
        <scheme val="none"/>
      </font>
      <fill>
        <patternFill patternType="solid">
          <bgColor rgb="FF0B2A4A"/>
        </patternFill>
      </fill>
      <border diagonalUp="0" diagonalDown="0">
        <left/>
        <right/>
        <top/>
        <bottom/>
        <vertical/>
        <horizontal/>
      </border>
    </dxf>
    <dxf>
      <font>
        <b/>
        <color theme="1"/>
      </font>
      <border>
        <bottom style="thin">
          <color theme="5"/>
        </bottom>
        <vertical/>
        <horizontal/>
      </border>
    </dxf>
    <dxf>
      <font>
        <sz val="8"/>
        <color theme="1"/>
      </font>
      <fill>
        <patternFill patternType="none">
          <bgColor auto="1"/>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style" pivot="0" table="0" count="10" xr9:uid="{28649BDA-E7FD-475D-A48A-FE41A47B394D}">
      <tableStyleElement type="wholeTable" dxfId="3"/>
      <tableStyleElement type="headerRow" dxfId="2"/>
    </tableStyle>
    <tableStyle name="MyStyle2" pivot="0" table="0" count="10" xr9:uid="{49072764-98A5-4DA3-8B4A-9F915F4EEA06}">
      <tableStyleElement type="wholeTable" dxfId="1"/>
      <tableStyleElement type="headerRow" dxfId="0"/>
    </tableStyle>
  </tableStyles>
  <colors>
    <mruColors>
      <color rgb="FF0B2A4A"/>
      <color rgb="FFEEF2F7"/>
      <color rgb="FFE8A33D"/>
      <color rgb="FF000000"/>
      <color rgb="FFE4E9F0"/>
      <color rgb="FFA8B4C4"/>
      <color rgb="FF123A6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E8A33D"/>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E8A33D"/>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[Exceldashboard.xlsx]Sheet1!PivotTable8</c:name>
    <c:fmtId val="1"/>
  </c:pivotSource>
  <c:chart>
    <c:autoTitleDeleted val="0"/>
    <c:pivotFmts>
      <c:pivotFmt>
        <c:idx val="0"/>
        <c:spPr>
          <a:solidFill>
            <a:srgbClr val="0B2A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2A4A"/>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113EB74B-D10D-4C20-8F39-2A8DF003ACBB}" type="CELLRANGE">
                  <a:rPr lang="en-US"/>
                  <a:pPr>
                    <a:defRPr sz="5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0B2A4A"/>
          </a:solidFill>
          <a:ln w="28575">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BAC6AFF6-D679-477B-922F-66CCA7613374}" type="CELLRANGE">
                  <a:rPr lang="en-IN"/>
                  <a:pPr>
                    <a:defRPr sz="5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2.7777777777777776E-2"/>
          <c:y val="0.23529411764705879"/>
          <c:w val="0.73611111111111116"/>
          <c:h val="0.47619047619047616"/>
        </c:manualLayout>
      </c:layout>
      <c:barChart>
        <c:barDir val="bar"/>
        <c:grouping val="clustered"/>
        <c:varyColors val="0"/>
        <c:ser>
          <c:idx val="0"/>
          <c:order val="0"/>
          <c:tx>
            <c:strRef>
              <c:f>Sheet1!$H$4:$H$5</c:f>
              <c:strCache>
                <c:ptCount val="1"/>
                <c:pt idx="0">
                  <c:v>CounofPatiAdFlag</c:v>
                </c:pt>
              </c:strCache>
            </c:strRef>
          </c:tx>
          <c:spPr>
            <a:solidFill>
              <a:srgbClr val="0B2A4A"/>
            </a:solidFill>
            <a:ln>
              <a:noFill/>
            </a:ln>
            <a:effectLst/>
          </c:spPr>
          <c:invertIfNegative val="0"/>
          <c:dPt>
            <c:idx val="0"/>
            <c:invertIfNegative val="0"/>
            <c:bubble3D val="0"/>
            <c:extLst>
              <c:ext xmlns:c16="http://schemas.microsoft.com/office/drawing/2014/chart" uri="{C3380CC4-5D6E-409C-BE32-E72D297353CC}">
                <c16:uniqueId val="{00000003-5D98-4849-A465-BFCF20D4EC27}"/>
              </c:ext>
            </c:extLst>
          </c:dPt>
          <c:dPt>
            <c:idx val="1"/>
            <c:invertIfNegative val="0"/>
            <c:bubble3D val="0"/>
            <c:spPr>
              <a:solidFill>
                <a:srgbClr val="0B2A4A"/>
              </a:solidFill>
              <a:ln w="28575">
                <a:noFill/>
              </a:ln>
              <a:effectLst/>
            </c:spPr>
            <c:extLst>
              <c:ext xmlns:c16="http://schemas.microsoft.com/office/drawing/2014/chart" uri="{C3380CC4-5D6E-409C-BE32-E72D297353CC}">
                <c16:uniqueId val="{00000004-5D98-4849-A465-BFCF20D4EC27}"/>
              </c:ext>
            </c:extLst>
          </c:dPt>
          <c:dLbls>
            <c:dLbl>
              <c:idx val="0"/>
              <c:tx>
                <c:rich>
                  <a:bodyPr/>
                  <a:lstStyle/>
                  <a:p>
                    <a:fld id="{113EB74B-D10D-4C20-8F39-2A8DF003ACB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D98-4849-A465-BFCF20D4EC27}"/>
                </c:ext>
              </c:extLst>
            </c:dLbl>
            <c:dLbl>
              <c:idx val="1"/>
              <c:tx>
                <c:rich>
                  <a:bodyPr/>
                  <a:lstStyle/>
                  <a:p>
                    <a:fld id="{BAC6AFF6-D679-477B-922F-66CCA761337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D98-4849-A465-BFCF20D4EC27}"/>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Sheet1!$H$4:$H$5</c:f>
              <c:strCache>
                <c:ptCount val="2"/>
                <c:pt idx="0">
                  <c:v>Admitted</c:v>
                </c:pt>
                <c:pt idx="1">
                  <c:v>Not Admitted</c:v>
                </c:pt>
              </c:strCache>
            </c:strRef>
          </c:cat>
          <c:val>
            <c:numRef>
              <c:f>Sheet1!$H$4:$H$5</c:f>
              <c:numCache>
                <c:formatCode>General</c:formatCode>
                <c:ptCount val="2"/>
                <c:pt idx="0">
                  <c:v>476</c:v>
                </c:pt>
                <c:pt idx="1">
                  <c:v>548</c:v>
                </c:pt>
              </c:numCache>
            </c:numRef>
          </c:val>
          <c:extLst>
            <c:ext xmlns:c15="http://schemas.microsoft.com/office/drawing/2012/chart" uri="{02D57815-91ED-43cb-92C2-25804820EDAC}">
              <c15:datalabelsRange>
                <c15:f>Sheet1!$H$4:$H$5</c15:f>
                <c15:dlblRangeCache>
                  <c:ptCount val="2"/>
                  <c:pt idx="0">
                    <c:v>46.48%</c:v>
                  </c:pt>
                  <c:pt idx="1">
                    <c:v>53.52%</c:v>
                  </c:pt>
                </c15:dlblRangeCache>
              </c15:datalabelsRange>
            </c:ext>
            <c:ext xmlns:c16="http://schemas.microsoft.com/office/drawing/2014/chart" uri="{C3380CC4-5D6E-409C-BE32-E72D297353CC}">
              <c16:uniqueId val="{00000000-5D98-4849-A465-BFCF20D4EC27}"/>
            </c:ext>
          </c:extLst>
        </c:ser>
        <c:ser>
          <c:idx val="1"/>
          <c:order val="1"/>
          <c:tx>
            <c:strRef>
              <c:f>Sheet1!$H$4:$H$5</c:f>
              <c:strCache>
                <c:ptCount val="1"/>
                <c:pt idx="0">
                  <c:v>Count of Patient Admission Flag2</c:v>
                </c:pt>
              </c:strCache>
            </c:strRef>
          </c:tx>
          <c:spPr>
            <a:solidFill>
              <a:schemeClr val="accent2"/>
            </a:solidFill>
            <a:ln>
              <a:noFill/>
            </a:ln>
            <a:effectLst/>
          </c:spPr>
          <c:invertIfNegative val="0"/>
          <c:cat>
            <c:strRef>
              <c:f>Sheet1!$H$4:$H$5</c:f>
              <c:strCache>
                <c:ptCount val="2"/>
                <c:pt idx="0">
                  <c:v>Admitted</c:v>
                </c:pt>
                <c:pt idx="1">
                  <c:v>Not Admitted</c:v>
                </c:pt>
              </c:strCache>
            </c:strRef>
          </c:cat>
          <c:val>
            <c:numRef>
              <c:f>Sheet1!$H$4:$H$5</c:f>
              <c:numCache>
                <c:formatCode>0.00%</c:formatCode>
                <c:ptCount val="2"/>
                <c:pt idx="0">
                  <c:v>0.46484375</c:v>
                </c:pt>
                <c:pt idx="1">
                  <c:v>0.53515625</c:v>
                </c:pt>
              </c:numCache>
            </c:numRef>
          </c:val>
          <c:extLst>
            <c:ext xmlns:c16="http://schemas.microsoft.com/office/drawing/2014/chart" uri="{C3380CC4-5D6E-409C-BE32-E72D297353CC}">
              <c16:uniqueId val="{00000001-5D98-4849-A465-BFCF20D4EC27}"/>
            </c:ext>
          </c:extLst>
        </c:ser>
        <c:dLbls>
          <c:showLegendKey val="0"/>
          <c:showVal val="0"/>
          <c:showCatName val="0"/>
          <c:showSerName val="0"/>
          <c:showPercent val="0"/>
          <c:showBubbleSize val="0"/>
        </c:dLbls>
        <c:gapWidth val="0"/>
        <c:overlap val="3"/>
        <c:axId val="697762864"/>
        <c:axId val="697763280"/>
      </c:barChart>
      <c:catAx>
        <c:axId val="697762864"/>
        <c:scaling>
          <c:orientation val="minMax"/>
        </c:scaling>
        <c:delete val="1"/>
        <c:axPos val="l"/>
        <c:numFmt formatCode="General" sourceLinked="1"/>
        <c:majorTickMark val="none"/>
        <c:minorTickMark val="none"/>
        <c:tickLblPos val="nextTo"/>
        <c:crossAx val="697763280"/>
        <c:crosses val="autoZero"/>
        <c:auto val="1"/>
        <c:lblAlgn val="ctr"/>
        <c:lblOffset val="100"/>
        <c:noMultiLvlLbl val="0"/>
      </c:catAx>
      <c:valAx>
        <c:axId val="697763280"/>
        <c:scaling>
          <c:orientation val="minMax"/>
        </c:scaling>
        <c:delete val="1"/>
        <c:axPos val="b"/>
        <c:numFmt formatCode="General" sourceLinked="1"/>
        <c:majorTickMark val="none"/>
        <c:minorTickMark val="none"/>
        <c:tickLblPos val="nextTo"/>
        <c:crossAx val="69776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[Exceldashboard.xlsx]Sheet1!PivotTable9</c:name>
    <c:fmtId val="4"/>
  </c:pivotSource>
  <c:chart>
    <c:autoTitleDeleted val="1"/>
    <c:pivotFmts>
      <c:pivotFmt>
        <c:idx val="0"/>
        <c:spPr>
          <a:solidFill>
            <a:srgbClr val="0B2A4A"/>
          </a:solidFill>
          <a:ln cap="rnd">
            <a:solidFill>
              <a:schemeClr val="accent1"/>
            </a:solidFill>
          </a:ln>
          <a:effectLst>
            <a:outerShdw blurRad="50800" dir="552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2A4A"/>
                  </a:solidFill>
                  <a:effectLst>
                    <a:reflection stA="45000" endPos="65000" dist="304800" dir="5400000" sy="-10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B2A4A"/>
          </a:solidFill>
          <a:ln cap="rnd">
            <a:solidFill>
              <a:schemeClr val="accent1"/>
            </a:solidFill>
          </a:ln>
          <a:effectLst>
            <a:outerShdw blurRad="50800" dir="552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2A4A"/>
                  </a:solidFill>
                  <a:effectLst>
                    <a:reflection stA="45000" endPos="65000" dist="304800" dir="5400000" sy="-10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B2A4A"/>
          </a:solidFill>
          <a:ln cap="rnd">
            <a:solidFill>
              <a:schemeClr val="accent1"/>
            </a:solidFill>
          </a:ln>
          <a:effectLst>
            <a:outerShdw blurRad="50800" dir="552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2A4A"/>
                  </a:solidFill>
                  <a:effectLst>
                    <a:reflection stA="45000" endPos="65000" dist="304800" dir="5400000" sy="-10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50421399780139E-2"/>
          <c:y val="0.23682876550302456"/>
          <c:w val="0.91938438988640525"/>
          <c:h val="0.56791085127234631"/>
        </c:manualLayout>
      </c:layout>
      <c:barChart>
        <c:barDir val="col"/>
        <c:grouping val="clustered"/>
        <c:varyColors val="0"/>
        <c:ser>
          <c:idx val="0"/>
          <c:order val="0"/>
          <c:tx>
            <c:strRef>
              <c:f>Sheet1!$G$17</c:f>
              <c:strCache>
                <c:ptCount val="1"/>
                <c:pt idx="0">
                  <c:v>Total</c:v>
                </c:pt>
              </c:strCache>
            </c:strRef>
          </c:tx>
          <c:spPr>
            <a:solidFill>
              <a:srgbClr val="0B2A4A"/>
            </a:solidFill>
            <a:ln cap="rnd">
              <a:solidFill>
                <a:schemeClr val="accent1"/>
              </a:solidFill>
            </a:ln>
            <a:effectLst>
              <a:outerShdw blurRad="50800" dir="5520000" algn="ctr" rotWithShape="0">
                <a:srgbClr val="000000">
                  <a:alpha val="43137"/>
                </a:srgb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2A4A"/>
                    </a:solidFill>
                    <a:effectLst>
                      <a:reflection stA="45000" endPos="65000" dist="304800" dir="5400000" sy="-100000" algn="bl" rotWithShape="0"/>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Sheet1!$F$18:$F$26</c:f>
              <c:strCache>
                <c:ptCount val="8"/>
                <c:pt idx="0">
                  <c:v>0-09</c:v>
                </c:pt>
                <c:pt idx="1">
                  <c:v>10-19</c:v>
                </c:pt>
                <c:pt idx="2">
                  <c:v>20-29</c:v>
                </c:pt>
                <c:pt idx="3">
                  <c:v>30-39</c:v>
                </c:pt>
                <c:pt idx="4">
                  <c:v>40-49</c:v>
                </c:pt>
                <c:pt idx="5">
                  <c:v>50-59</c:v>
                </c:pt>
                <c:pt idx="6">
                  <c:v>60-69</c:v>
                </c:pt>
                <c:pt idx="7">
                  <c:v>70-79</c:v>
                </c:pt>
              </c:strCache>
            </c:strRef>
          </c:cat>
          <c:val>
            <c:numRef>
              <c:f>Sheet1!$G$18:$G$26</c:f>
              <c:numCache>
                <c:formatCode>General</c:formatCode>
                <c:ptCount val="8"/>
                <c:pt idx="0">
                  <c:v>133</c:v>
                </c:pt>
                <c:pt idx="1">
                  <c:v>136</c:v>
                </c:pt>
                <c:pt idx="2">
                  <c:v>123</c:v>
                </c:pt>
                <c:pt idx="3">
                  <c:v>133</c:v>
                </c:pt>
                <c:pt idx="4">
                  <c:v>120</c:v>
                </c:pt>
                <c:pt idx="5">
                  <c:v>123</c:v>
                </c:pt>
                <c:pt idx="6">
                  <c:v>140</c:v>
                </c:pt>
                <c:pt idx="7">
                  <c:v>116</c:v>
                </c:pt>
              </c:numCache>
            </c:numRef>
          </c:val>
          <c:extLst>
            <c:ext xmlns:c16="http://schemas.microsoft.com/office/drawing/2014/chart" uri="{C3380CC4-5D6E-409C-BE32-E72D297353CC}">
              <c16:uniqueId val="{00000000-0147-429F-866C-FE937053B5C8}"/>
            </c:ext>
          </c:extLst>
        </c:ser>
        <c:dLbls>
          <c:showLegendKey val="0"/>
          <c:showVal val="0"/>
          <c:showCatName val="0"/>
          <c:showSerName val="0"/>
          <c:showPercent val="0"/>
          <c:showBubbleSize val="0"/>
        </c:dLbls>
        <c:gapWidth val="72"/>
        <c:overlap val="-36"/>
        <c:axId val="1818658384"/>
        <c:axId val="1818642160"/>
      </c:barChart>
      <c:catAx>
        <c:axId val="18186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1818642160"/>
        <c:crosses val="autoZero"/>
        <c:auto val="1"/>
        <c:lblAlgn val="ctr"/>
        <c:lblOffset val="100"/>
        <c:noMultiLvlLbl val="0"/>
      </c:catAx>
      <c:valAx>
        <c:axId val="1818642160"/>
        <c:scaling>
          <c:orientation val="minMax"/>
        </c:scaling>
        <c:delete val="1"/>
        <c:axPos val="l"/>
        <c:numFmt formatCode="General" sourceLinked="1"/>
        <c:majorTickMark val="none"/>
        <c:minorTickMark val="none"/>
        <c:tickLblPos val="nextTo"/>
        <c:crossAx val="181865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[Exceldashboard.xlsx]Sheet1!PivotTable3</c:name>
    <c:fmtId val="7"/>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spPr>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5">
              <a:shade val="76000"/>
            </a:schemeClr>
          </a:solidFill>
          <a:ln>
            <a:noFill/>
          </a:ln>
          <a:effectLst/>
        </c:spPr>
        <c:dLbl>
          <c:idx val="0"/>
          <c:layout>
            <c:manualLayout>
              <c:x val="4.1541976574257858E-2"/>
              <c:y val="3.151522541983137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5283018867924528"/>
                  <c:h val="0.13250040173549735"/>
                </c:manualLayout>
              </c15:layout>
            </c:ext>
          </c:extLst>
        </c:dLbl>
      </c:pivotFmt>
      <c:pivotFmt>
        <c:idx val="6"/>
        <c:spPr>
          <a:solidFill>
            <a:srgbClr val="0B2A4A"/>
          </a:solidFill>
          <a:ln>
            <a:noFill/>
          </a:ln>
          <a:effectLst/>
        </c:spPr>
        <c:dLbl>
          <c:idx val="0"/>
          <c:layout>
            <c:manualLayout>
              <c:x val="-5.8761751041507625E-2"/>
              <c:y val="-2.55557104034562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Sheet1!$J$17</c:f>
              <c:strCache>
                <c:ptCount val="1"/>
                <c:pt idx="0">
                  <c:v>Total</c:v>
                </c:pt>
              </c:strCache>
            </c:strRef>
          </c:tx>
          <c:spPr>
            <a:effectLst/>
          </c:spPr>
          <c:dPt>
            <c:idx val="0"/>
            <c:bubble3D val="0"/>
            <c:spPr>
              <a:solidFill>
                <a:schemeClr val="accent5">
                  <a:shade val="76000"/>
                </a:schemeClr>
              </a:solidFill>
              <a:ln>
                <a:noFill/>
              </a:ln>
              <a:effectLst/>
            </c:spPr>
            <c:extLst>
              <c:ext xmlns:c16="http://schemas.microsoft.com/office/drawing/2014/chart" uri="{C3380CC4-5D6E-409C-BE32-E72D297353CC}">
                <c16:uniqueId val="{00000001-B99D-4BE3-A52F-CA8406D448ED}"/>
              </c:ext>
            </c:extLst>
          </c:dPt>
          <c:dPt>
            <c:idx val="1"/>
            <c:bubble3D val="0"/>
            <c:spPr>
              <a:solidFill>
                <a:srgbClr val="0B2A4A"/>
              </a:solidFill>
              <a:ln>
                <a:noFill/>
              </a:ln>
              <a:effectLst/>
            </c:spPr>
            <c:extLst>
              <c:ext xmlns:c16="http://schemas.microsoft.com/office/drawing/2014/chart" uri="{C3380CC4-5D6E-409C-BE32-E72D297353CC}">
                <c16:uniqueId val="{00000003-B99D-4BE3-A52F-CA8406D448ED}"/>
              </c:ext>
            </c:extLst>
          </c:dPt>
          <c:dLbls>
            <c:dLbl>
              <c:idx val="0"/>
              <c:layout>
                <c:manualLayout>
                  <c:x val="4.1541976574257858E-2"/>
                  <c:y val="3.151522541983137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5283018867924528"/>
                      <c:h val="0.13250040173549735"/>
                    </c:manualLayout>
                  </c15:layout>
                </c:ext>
                <c:ext xmlns:c16="http://schemas.microsoft.com/office/drawing/2014/chart" uri="{C3380CC4-5D6E-409C-BE32-E72D297353CC}">
                  <c16:uniqueId val="{00000001-B99D-4BE3-A52F-CA8406D448ED}"/>
                </c:ext>
              </c:extLst>
            </c:dLbl>
            <c:dLbl>
              <c:idx val="1"/>
              <c:layout>
                <c:manualLayout>
                  <c:x val="-5.8761751041507625E-2"/>
                  <c:y val="-2.55557104034562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B99D-4BE3-A52F-CA8406D448ED}"/>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Sheet1!$I$18:$I$20</c:f>
              <c:strCache>
                <c:ptCount val="2"/>
                <c:pt idx="0">
                  <c:v>Delay</c:v>
                </c:pt>
                <c:pt idx="1">
                  <c:v>Ontime</c:v>
                </c:pt>
              </c:strCache>
            </c:strRef>
          </c:cat>
          <c:val>
            <c:numRef>
              <c:f>Sheet1!$J$18:$J$20</c:f>
              <c:numCache>
                <c:formatCode>General</c:formatCode>
                <c:ptCount val="2"/>
                <c:pt idx="0">
                  <c:v>630</c:v>
                </c:pt>
                <c:pt idx="1">
                  <c:v>394</c:v>
                </c:pt>
              </c:numCache>
            </c:numRef>
          </c:val>
          <c:extLst>
            <c:ext xmlns:c16="http://schemas.microsoft.com/office/drawing/2014/chart" uri="{C3380CC4-5D6E-409C-BE32-E72D297353CC}">
              <c16:uniqueId val="{00000004-B99D-4BE3-A52F-CA8406D448ED}"/>
            </c:ext>
          </c:extLst>
        </c:ser>
        <c:dLbls>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23941970488982994"/>
          <c:y val="0.7566685248414744"/>
          <c:w val="0.54726319587410066"/>
          <c:h val="0.1007665113289410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[Exceldashboard.xlsx]Sheet1!PivotTable6</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c:spPr>
        <c:dLbl>
          <c:idx val="0"/>
          <c:layout>
            <c:manualLayout>
              <c:x val="0.17996289228159457"/>
              <c:y val="-0.108560533076429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B2A4A"/>
          </a:solidFill>
          <a:ln>
            <a:noFill/>
          </a:ln>
          <a:effectLst/>
        </c:spPr>
        <c:dLbl>
          <c:idx val="0"/>
          <c:layout>
            <c:manualLayout>
              <c:x val="-0.16519826123833764"/>
              <c:y val="-5.18408798972382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097982708933716"/>
          <c:y val="0.12275208182040938"/>
          <c:w val="0.49173909097097734"/>
          <c:h val="0.64167815933689698"/>
        </c:manualLayout>
      </c:layout>
      <c:doughnutChart>
        <c:varyColors val="1"/>
        <c:ser>
          <c:idx val="0"/>
          <c:order val="0"/>
          <c:tx>
            <c:strRef>
              <c:f>Sheet1!$J$23</c:f>
              <c:strCache>
                <c:ptCount val="1"/>
                <c:pt idx="0">
                  <c:v>Total</c:v>
                </c:pt>
              </c:strCache>
            </c:strRef>
          </c:tx>
          <c:spPr>
            <a:effectLst/>
          </c:spPr>
          <c:dPt>
            <c:idx val="0"/>
            <c:bubble3D val="0"/>
            <c:spPr>
              <a:solidFill>
                <a:schemeClr val="accent5">
                  <a:shade val="76000"/>
                </a:schemeClr>
              </a:solidFill>
              <a:ln>
                <a:noFill/>
              </a:ln>
              <a:effectLst/>
            </c:spPr>
            <c:extLst>
              <c:ext xmlns:c16="http://schemas.microsoft.com/office/drawing/2014/chart" uri="{C3380CC4-5D6E-409C-BE32-E72D297353CC}">
                <c16:uniqueId val="{00000001-E681-4812-921D-E095810E7DCE}"/>
              </c:ext>
            </c:extLst>
          </c:dPt>
          <c:dPt>
            <c:idx val="1"/>
            <c:bubble3D val="0"/>
            <c:spPr>
              <a:solidFill>
                <a:srgbClr val="0B2A4A"/>
              </a:solidFill>
              <a:ln>
                <a:noFill/>
              </a:ln>
              <a:effectLst/>
            </c:spPr>
            <c:extLst>
              <c:ext xmlns:c16="http://schemas.microsoft.com/office/drawing/2014/chart" uri="{C3380CC4-5D6E-409C-BE32-E72D297353CC}">
                <c16:uniqueId val="{00000003-E681-4812-921D-E095810E7DCE}"/>
              </c:ext>
            </c:extLst>
          </c:dPt>
          <c:dLbls>
            <c:dLbl>
              <c:idx val="0"/>
              <c:layout>
                <c:manualLayout>
                  <c:x val="0.17996289228159457"/>
                  <c:y val="-0.1085605330764290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81-4812-921D-E095810E7DCE}"/>
                </c:ext>
              </c:extLst>
            </c:dLbl>
            <c:dLbl>
              <c:idx val="1"/>
              <c:layout>
                <c:manualLayout>
                  <c:x val="-0.16519826123833764"/>
                  <c:y val="-5.18408798972382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81-4812-921D-E095810E7DC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Sheet1!$I$24:$I$26</c:f>
              <c:strCache>
                <c:ptCount val="2"/>
                <c:pt idx="0">
                  <c:v>Female</c:v>
                </c:pt>
                <c:pt idx="1">
                  <c:v>Male</c:v>
                </c:pt>
              </c:strCache>
            </c:strRef>
          </c:cat>
          <c:val>
            <c:numRef>
              <c:f>Sheet1!$J$24:$J$26</c:f>
              <c:numCache>
                <c:formatCode>General</c:formatCode>
                <c:ptCount val="2"/>
                <c:pt idx="0">
                  <c:v>500</c:v>
                </c:pt>
                <c:pt idx="1">
                  <c:v>524</c:v>
                </c:pt>
              </c:numCache>
            </c:numRef>
          </c:val>
          <c:extLst>
            <c:ext xmlns:c16="http://schemas.microsoft.com/office/drawing/2014/chart" uri="{C3380CC4-5D6E-409C-BE32-E72D297353CC}">
              <c16:uniqueId val="{00000004-E681-4812-921D-E095810E7DC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25096904156064459"/>
          <c:y val="0.7973554913294798"/>
          <c:w val="0.52499151823579304"/>
          <c:h val="0.1720568400770713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r="5400000" algn="ctr" rotWithShape="0">
        <a:srgbClr val="000000">
          <a:alpha val="50000"/>
        </a:srgbClr>
      </a:outerShdw>
      <a:softEdge rad="2286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[Exceldashboard.xlsx]Sheet1!PivotTable7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2A4A"/>
          </a:solidFill>
          <a:ln>
            <a:solidFill>
              <a:srgbClr val="0B2A4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60773635284061"/>
          <c:y val="8.7025316455696208E-2"/>
          <c:w val="0.41671413011413921"/>
          <c:h val="0.82594936708860756"/>
        </c:manualLayout>
      </c:layout>
      <c:barChart>
        <c:barDir val="bar"/>
        <c:grouping val="clustered"/>
        <c:varyColors val="0"/>
        <c:ser>
          <c:idx val="0"/>
          <c:order val="0"/>
          <c:tx>
            <c:strRef>
              <c:f>Sheet1!$J$29</c:f>
              <c:strCache>
                <c:ptCount val="1"/>
                <c:pt idx="0">
                  <c:v>Total</c:v>
                </c:pt>
              </c:strCache>
            </c:strRef>
          </c:tx>
          <c:spPr>
            <a:solidFill>
              <a:srgbClr val="0B2A4A"/>
            </a:solidFill>
            <a:ln>
              <a:solidFill>
                <a:srgbClr val="0B2A4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Sheet1!$I$30:$I$38</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Sheet1!$J$30:$J$38</c:f>
              <c:numCache>
                <c:formatCode>General</c:formatCode>
                <c:ptCount val="8"/>
                <c:pt idx="0">
                  <c:v>13</c:v>
                </c:pt>
                <c:pt idx="1">
                  <c:v>18</c:v>
                </c:pt>
                <c:pt idx="2">
                  <c:v>22</c:v>
                </c:pt>
                <c:pt idx="3">
                  <c:v>29</c:v>
                </c:pt>
                <c:pt idx="4">
                  <c:v>29</c:v>
                </c:pt>
                <c:pt idx="5">
                  <c:v>102</c:v>
                </c:pt>
                <c:pt idx="6">
                  <c:v>201</c:v>
                </c:pt>
                <c:pt idx="7">
                  <c:v>610</c:v>
                </c:pt>
              </c:numCache>
            </c:numRef>
          </c:val>
          <c:extLst>
            <c:ext xmlns:c16="http://schemas.microsoft.com/office/drawing/2014/chart" uri="{C3380CC4-5D6E-409C-BE32-E72D297353CC}">
              <c16:uniqueId val="{00000000-DA66-448C-ADED-DAF1C6E09AFD}"/>
            </c:ext>
          </c:extLst>
        </c:ser>
        <c:dLbls>
          <c:showLegendKey val="0"/>
          <c:showVal val="0"/>
          <c:showCatName val="0"/>
          <c:showSerName val="0"/>
          <c:showPercent val="0"/>
          <c:showBubbleSize val="0"/>
        </c:dLbls>
        <c:gapWidth val="182"/>
        <c:axId val="559059936"/>
        <c:axId val="559052864"/>
      </c:barChart>
      <c:catAx>
        <c:axId val="55905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accent3">
                    <a:lumMod val="75000"/>
                  </a:schemeClr>
                </a:solidFill>
                <a:latin typeface="+mn-lt"/>
                <a:ea typeface="+mn-ea"/>
                <a:cs typeface="+mn-cs"/>
              </a:defRPr>
            </a:pPr>
            <a:endParaRPr lang="en-US"/>
          </a:p>
        </c:txPr>
        <c:crossAx val="559052864"/>
        <c:crosses val="autoZero"/>
        <c:auto val="1"/>
        <c:lblAlgn val="ctr"/>
        <c:lblOffset val="100"/>
        <c:noMultiLvlLbl val="0"/>
      </c:catAx>
      <c:valAx>
        <c:axId val="559052864"/>
        <c:scaling>
          <c:orientation val="minMax"/>
        </c:scaling>
        <c:delete val="1"/>
        <c:axPos val="b"/>
        <c:numFmt formatCode="General" sourceLinked="1"/>
        <c:majorTickMark val="none"/>
        <c:minorTickMark val="none"/>
        <c:tickLblPos val="nextTo"/>
        <c:crossAx val="55905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2.emf"/><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30480</xdr:colOff>
      <xdr:row>8</xdr:row>
      <xdr:rowOff>114300</xdr:rowOff>
    </xdr:from>
    <xdr:to>
      <xdr:col>8</xdr:col>
      <xdr:colOff>1508760</xdr:colOff>
      <xdr:row>10</xdr:row>
      <xdr:rowOff>106680</xdr:rowOff>
    </xdr:to>
    <xdr:graphicFrame macro="">
      <xdr:nvGraphicFramePr>
        <xdr:cNvPr id="3" name="Chart 2">
          <a:extLst>
            <a:ext uri="{FF2B5EF4-FFF2-40B4-BE49-F238E27FC236}">
              <a16:creationId xmlns:a16="http://schemas.microsoft.com/office/drawing/2014/main" id="{9180248D-D4EB-4ECB-B2B6-140FACB15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71120</xdr:colOff>
      <xdr:row>0</xdr:row>
      <xdr:rowOff>45720</xdr:rowOff>
    </xdr:from>
    <xdr:to>
      <xdr:col>6</xdr:col>
      <xdr:colOff>289560</xdr:colOff>
      <xdr:row>2</xdr:row>
      <xdr:rowOff>137160</xdr:rowOff>
    </xdr:to>
    <xdr:sp macro="" textlink="">
      <xdr:nvSpPr>
        <xdr:cNvPr id="2" name="Rectangle 1">
          <a:extLst>
            <a:ext uri="{FF2B5EF4-FFF2-40B4-BE49-F238E27FC236}">
              <a16:creationId xmlns:a16="http://schemas.microsoft.com/office/drawing/2014/main" id="{A026DC36-74E5-4151-9C92-B116B8E11134}"/>
            </a:ext>
          </a:extLst>
        </xdr:cNvPr>
        <xdr:cNvSpPr/>
      </xdr:nvSpPr>
      <xdr:spPr>
        <a:xfrm>
          <a:off x="71120" y="45720"/>
          <a:ext cx="3876040" cy="457200"/>
        </a:xfrm>
        <a:prstGeom prst="rect">
          <a:avLst/>
        </a:prstGeom>
        <a:solidFill>
          <a:srgbClr val="0B2A4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500">
            <a:solidFill>
              <a:srgbClr val="A8B4C4"/>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172720</xdr:colOff>
      <xdr:row>0</xdr:row>
      <xdr:rowOff>66040</xdr:rowOff>
    </xdr:from>
    <xdr:to>
      <xdr:col>1</xdr:col>
      <xdr:colOff>213360</xdr:colOff>
      <xdr:row>2</xdr:row>
      <xdr:rowOff>69668</xdr:rowOff>
    </xdr:to>
    <xdr:pic>
      <xdr:nvPicPr>
        <xdr:cNvPr id="8" name="Picture 7">
          <a:extLst>
            <a:ext uri="{FF2B5EF4-FFF2-40B4-BE49-F238E27FC236}">
              <a16:creationId xmlns:a16="http://schemas.microsoft.com/office/drawing/2014/main" id="{7E09C523-C9B3-46AE-B746-C56CAC35BE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720" y="66040"/>
          <a:ext cx="650240" cy="369388"/>
        </a:xfrm>
        <a:prstGeom prst="rect">
          <a:avLst/>
        </a:prstGeom>
      </xdr:spPr>
    </xdr:pic>
    <xdr:clientData/>
  </xdr:twoCellAnchor>
  <xdr:twoCellAnchor>
    <xdr:from>
      <xdr:col>0</xdr:col>
      <xdr:colOff>71121</xdr:colOff>
      <xdr:row>2</xdr:row>
      <xdr:rowOff>179171</xdr:rowOff>
    </xdr:from>
    <xdr:to>
      <xdr:col>1</xdr:col>
      <xdr:colOff>213360</xdr:colOff>
      <xdr:row>18</xdr:row>
      <xdr:rowOff>172720</xdr:rowOff>
    </xdr:to>
    <xdr:sp macro="" textlink="">
      <xdr:nvSpPr>
        <xdr:cNvPr id="9" name="Rectangle: Rounded Corners 8">
          <a:extLst>
            <a:ext uri="{FF2B5EF4-FFF2-40B4-BE49-F238E27FC236}">
              <a16:creationId xmlns:a16="http://schemas.microsoft.com/office/drawing/2014/main" id="{A2BFBE46-53D5-4DE1-A35A-FC0065D140F5}"/>
            </a:ext>
          </a:extLst>
        </xdr:cNvPr>
        <xdr:cNvSpPr/>
      </xdr:nvSpPr>
      <xdr:spPr>
        <a:xfrm>
          <a:off x="71121" y="544931"/>
          <a:ext cx="751839" cy="2919629"/>
        </a:xfrm>
        <a:prstGeom prst="roundRect">
          <a:avLst>
            <a:gd name="adj" fmla="val 4127"/>
          </a:avLst>
        </a:prstGeom>
        <a:solidFill>
          <a:srgbClr val="0B2A4A"/>
        </a:solidFill>
        <a:ln w="8890">
          <a:solidFill>
            <a:srgbClr val="E4E9F0"/>
          </a:solidFill>
        </a:ln>
        <a:effectLst>
          <a:outerShdw blurRad="101600" dist="38100" dir="2700000" algn="tl"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9216</a:t>
          </a:r>
        </a:p>
      </xdr:txBody>
    </xdr:sp>
    <xdr:clientData/>
  </xdr:twoCellAnchor>
  <xdr:twoCellAnchor>
    <xdr:from>
      <xdr:col>1</xdr:col>
      <xdr:colOff>25400</xdr:colOff>
      <xdr:row>0</xdr:row>
      <xdr:rowOff>81280</xdr:rowOff>
    </xdr:from>
    <xdr:to>
      <xdr:col>6</xdr:col>
      <xdr:colOff>314960</xdr:colOff>
      <xdr:row>2</xdr:row>
      <xdr:rowOff>132080</xdr:rowOff>
    </xdr:to>
    <xdr:sp macro="" textlink="">
      <xdr:nvSpPr>
        <xdr:cNvPr id="13" name="TextBox 12">
          <a:extLst>
            <a:ext uri="{FF2B5EF4-FFF2-40B4-BE49-F238E27FC236}">
              <a16:creationId xmlns:a16="http://schemas.microsoft.com/office/drawing/2014/main" id="{46A0678B-D281-4CF5-B724-B2C7B0C44F0E}"/>
            </a:ext>
          </a:extLst>
        </xdr:cNvPr>
        <xdr:cNvSpPr txBox="1"/>
      </xdr:nvSpPr>
      <xdr:spPr>
        <a:xfrm>
          <a:off x="635000" y="81280"/>
          <a:ext cx="3337560"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Segoe UI Semibold" panose="020B0702040204020203" pitchFamily="34" charset="0"/>
              <a:cs typeface="Segoe UI Semibold" panose="020B0702040204020203" pitchFamily="34" charset="0"/>
            </a:rPr>
            <a:t>Hospital Emergency Room Dashboard</a:t>
          </a:r>
        </a:p>
        <a:p>
          <a:pPr algn="ctr"/>
          <a:r>
            <a:rPr lang="en-IN" sz="500">
              <a:solidFill>
                <a:schemeClr val="bg2"/>
              </a:solidFill>
              <a:latin typeface="Segoe UI Semibold" panose="020B0702040204020203" pitchFamily="34" charset="0"/>
              <a:cs typeface="Segoe UI Semibold" panose="020B0702040204020203" pitchFamily="34" charset="0"/>
            </a:rPr>
            <a:t>Monthly</a:t>
          </a:r>
          <a:r>
            <a:rPr lang="en-IN" sz="500" baseline="0">
              <a:solidFill>
                <a:schemeClr val="bg2"/>
              </a:solidFill>
              <a:latin typeface="Segoe UI Semibold" panose="020B0702040204020203" pitchFamily="34" charset="0"/>
              <a:cs typeface="Segoe UI Semibold" panose="020B0702040204020203" pitchFamily="34" charset="0"/>
            </a:rPr>
            <a:t> Report</a:t>
          </a:r>
          <a:endParaRPr lang="en-IN" sz="5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135255</xdr:colOff>
      <xdr:row>3</xdr:row>
      <xdr:rowOff>56832</xdr:rowOff>
    </xdr:from>
    <xdr:to>
      <xdr:col>1</xdr:col>
      <xdr:colOff>157480</xdr:colOff>
      <xdr:row>18</xdr:row>
      <xdr:rowOff>111760</xdr:rowOff>
    </xdr:to>
    <mc:AlternateContent xmlns:mc="http://schemas.openxmlformats.org/markup-compatibility/2006" xmlns:a14="http://schemas.microsoft.com/office/drawing/2010/main">
      <mc:Choice Requires="a14">
        <xdr:graphicFrame macro="">
          <xdr:nvGraphicFramePr>
            <xdr:cNvPr id="17" name="Date (Month)">
              <a:extLst>
                <a:ext uri="{FF2B5EF4-FFF2-40B4-BE49-F238E27FC236}">
                  <a16:creationId xmlns:a16="http://schemas.microsoft.com/office/drawing/2014/main" id="{282409BC-4D5D-40CE-BE38-EAE9DA673FD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5255" y="605472"/>
              <a:ext cx="631825" cy="2798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257810</xdr:colOff>
      <xdr:row>3</xdr:row>
      <xdr:rowOff>25819</xdr:rowOff>
    </xdr:from>
    <xdr:to>
      <xdr:col>3</xdr:col>
      <xdr:colOff>294640</xdr:colOff>
      <xdr:row>7</xdr:row>
      <xdr:rowOff>76200</xdr:rowOff>
    </xdr:to>
    <xdr:sp macro="" textlink="">
      <xdr:nvSpPr>
        <xdr:cNvPr id="18" name="Rectangle: Rounded Corners 17">
          <a:extLst>
            <a:ext uri="{FF2B5EF4-FFF2-40B4-BE49-F238E27FC236}">
              <a16:creationId xmlns:a16="http://schemas.microsoft.com/office/drawing/2014/main" id="{4443AC1D-F0F9-41EF-8445-B779120A2E54}"/>
            </a:ext>
          </a:extLst>
        </xdr:cNvPr>
        <xdr:cNvSpPr/>
      </xdr:nvSpPr>
      <xdr:spPr>
        <a:xfrm>
          <a:off x="867410" y="574459"/>
          <a:ext cx="1256030" cy="781901"/>
        </a:xfrm>
        <a:prstGeom prst="roundRect">
          <a:avLst>
            <a:gd name="adj" fmla="val 7956"/>
          </a:avLst>
        </a:prstGeom>
        <a:solidFill>
          <a:schemeClr val="bg1"/>
        </a:solidFill>
        <a:ln w="8890">
          <a:solidFill>
            <a:srgbClr val="E4E9F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9216</a:t>
          </a:r>
        </a:p>
      </xdr:txBody>
    </xdr:sp>
    <xdr:clientData/>
  </xdr:twoCellAnchor>
  <xdr:twoCellAnchor>
    <xdr:from>
      <xdr:col>3</xdr:col>
      <xdr:colOff>354330</xdr:colOff>
      <xdr:row>3</xdr:row>
      <xdr:rowOff>25819</xdr:rowOff>
    </xdr:from>
    <xdr:to>
      <xdr:col>5</xdr:col>
      <xdr:colOff>406400</xdr:colOff>
      <xdr:row>7</xdr:row>
      <xdr:rowOff>71120</xdr:rowOff>
    </xdr:to>
    <xdr:sp macro="" textlink="">
      <xdr:nvSpPr>
        <xdr:cNvPr id="36" name="Rectangle: Rounded Corners 35">
          <a:extLst>
            <a:ext uri="{FF2B5EF4-FFF2-40B4-BE49-F238E27FC236}">
              <a16:creationId xmlns:a16="http://schemas.microsoft.com/office/drawing/2014/main" id="{58F31B0A-4EA6-4AD8-BCC8-B936FB9646CD}"/>
            </a:ext>
          </a:extLst>
        </xdr:cNvPr>
        <xdr:cNvSpPr/>
      </xdr:nvSpPr>
      <xdr:spPr>
        <a:xfrm>
          <a:off x="2183130" y="574459"/>
          <a:ext cx="1271270" cy="776821"/>
        </a:xfrm>
        <a:prstGeom prst="roundRect">
          <a:avLst>
            <a:gd name="adj" fmla="val 7956"/>
          </a:avLst>
        </a:prstGeom>
        <a:solidFill>
          <a:schemeClr val="bg1"/>
        </a:solidFill>
        <a:ln w="8890">
          <a:solidFill>
            <a:srgbClr val="E4E9F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9216</a:t>
          </a:r>
        </a:p>
      </xdr:txBody>
    </xdr:sp>
    <xdr:clientData/>
  </xdr:twoCellAnchor>
  <xdr:twoCellAnchor>
    <xdr:from>
      <xdr:col>5</xdr:col>
      <xdr:colOff>455930</xdr:colOff>
      <xdr:row>3</xdr:row>
      <xdr:rowOff>30899</xdr:rowOff>
    </xdr:from>
    <xdr:to>
      <xdr:col>8</xdr:col>
      <xdr:colOff>45720</xdr:colOff>
      <xdr:row>7</xdr:row>
      <xdr:rowOff>60960</xdr:rowOff>
    </xdr:to>
    <xdr:sp macro="" textlink="">
      <xdr:nvSpPr>
        <xdr:cNvPr id="37" name="Rectangle: Rounded Corners 36">
          <a:extLst>
            <a:ext uri="{FF2B5EF4-FFF2-40B4-BE49-F238E27FC236}">
              <a16:creationId xmlns:a16="http://schemas.microsoft.com/office/drawing/2014/main" id="{8022041A-0184-4AED-918B-B9679908C498}"/>
            </a:ext>
          </a:extLst>
        </xdr:cNvPr>
        <xdr:cNvSpPr/>
      </xdr:nvSpPr>
      <xdr:spPr>
        <a:xfrm>
          <a:off x="3503930" y="579539"/>
          <a:ext cx="1418590" cy="761581"/>
        </a:xfrm>
        <a:prstGeom prst="roundRect">
          <a:avLst>
            <a:gd name="adj" fmla="val 4621"/>
          </a:avLst>
        </a:prstGeom>
        <a:solidFill>
          <a:schemeClr val="bg1"/>
        </a:solidFill>
        <a:ln w="8890">
          <a:solidFill>
            <a:srgbClr val="E4E9F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9216</a:t>
          </a:r>
        </a:p>
      </xdr:txBody>
    </xdr:sp>
    <xdr:clientData/>
  </xdr:twoCellAnchor>
  <xdr:twoCellAnchor>
    <xdr:from>
      <xdr:col>6</xdr:col>
      <xdr:colOff>334010</xdr:colOff>
      <xdr:row>0</xdr:row>
      <xdr:rowOff>46139</xdr:rowOff>
    </xdr:from>
    <xdr:to>
      <xdr:col>8</xdr:col>
      <xdr:colOff>96520</xdr:colOff>
      <xdr:row>2</xdr:row>
      <xdr:rowOff>152400</xdr:rowOff>
    </xdr:to>
    <xdr:sp macro="" textlink="">
      <xdr:nvSpPr>
        <xdr:cNvPr id="38" name="Rectangle: Rounded Corners 37">
          <a:extLst>
            <a:ext uri="{FF2B5EF4-FFF2-40B4-BE49-F238E27FC236}">
              <a16:creationId xmlns:a16="http://schemas.microsoft.com/office/drawing/2014/main" id="{DC645490-4B99-4DCB-BFC3-53CE7DA72AB1}"/>
            </a:ext>
          </a:extLst>
        </xdr:cNvPr>
        <xdr:cNvSpPr/>
      </xdr:nvSpPr>
      <xdr:spPr>
        <a:xfrm>
          <a:off x="3991610" y="46139"/>
          <a:ext cx="981710" cy="472021"/>
        </a:xfrm>
        <a:prstGeom prst="roundRect">
          <a:avLst>
            <a:gd name="adj" fmla="val 7956"/>
          </a:avLst>
        </a:prstGeom>
        <a:solidFill>
          <a:srgbClr val="0B2A4A"/>
        </a:solidFill>
        <a:ln w="8890">
          <a:solidFill>
            <a:srgbClr val="E4E9F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353322</xdr:colOff>
      <xdr:row>4</xdr:row>
      <xdr:rowOff>139700</xdr:rowOff>
    </xdr:from>
    <xdr:to>
      <xdr:col>3</xdr:col>
      <xdr:colOff>228600</xdr:colOff>
      <xdr:row>5</xdr:row>
      <xdr:rowOff>162673</xdr:rowOff>
    </xdr:to>
    <xdr:sp macro="" textlink="Sheet1!A5">
      <xdr:nvSpPr>
        <xdr:cNvPr id="19" name="TextBox 18">
          <a:extLst>
            <a:ext uri="{FF2B5EF4-FFF2-40B4-BE49-F238E27FC236}">
              <a16:creationId xmlns:a16="http://schemas.microsoft.com/office/drawing/2014/main" id="{99488644-5D61-4FC8-BC54-0BC6C8467BF5}"/>
            </a:ext>
          </a:extLst>
        </xdr:cNvPr>
        <xdr:cNvSpPr txBox="1"/>
      </xdr:nvSpPr>
      <xdr:spPr>
        <a:xfrm>
          <a:off x="962922" y="871220"/>
          <a:ext cx="1094478" cy="205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a:t>
          </a:r>
          <a:r>
            <a:rPr lang="en-IN" sz="1100" baseline="0"/>
            <a:t> of Patient</a:t>
          </a:r>
          <a:endParaRPr lang="en-IN" sz="1100"/>
        </a:p>
      </xdr:txBody>
    </xdr:sp>
    <xdr:clientData/>
  </xdr:twoCellAnchor>
  <xdr:twoCellAnchor>
    <xdr:from>
      <xdr:col>2</xdr:col>
      <xdr:colOff>10160</xdr:colOff>
      <xdr:row>3</xdr:row>
      <xdr:rowOff>178454</xdr:rowOff>
    </xdr:from>
    <xdr:to>
      <xdr:col>2</xdr:col>
      <xdr:colOff>584199</xdr:colOff>
      <xdr:row>5</xdr:row>
      <xdr:rowOff>44880</xdr:rowOff>
    </xdr:to>
    <xdr:sp macro="" textlink="Sheet1!A5">
      <xdr:nvSpPr>
        <xdr:cNvPr id="14" name="TextBox 13">
          <a:extLst>
            <a:ext uri="{FF2B5EF4-FFF2-40B4-BE49-F238E27FC236}">
              <a16:creationId xmlns:a16="http://schemas.microsoft.com/office/drawing/2014/main" id="{AF1F2CD3-7B7C-4F49-921A-57BF51824E6A}"/>
            </a:ext>
          </a:extLst>
        </xdr:cNvPr>
        <xdr:cNvSpPr txBox="1"/>
      </xdr:nvSpPr>
      <xdr:spPr>
        <a:xfrm>
          <a:off x="1229360" y="727094"/>
          <a:ext cx="574039" cy="232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B164A3-4AD6-44AA-9884-28AF34475434}" type="TxLink">
            <a:rPr lang="en-US" sz="1100" b="0" i="0" u="none" strike="noStrike">
              <a:solidFill>
                <a:srgbClr val="000000"/>
              </a:solidFill>
              <a:latin typeface="Calibri"/>
              <a:ea typeface="Calibri"/>
              <a:cs typeface="Calibri"/>
            </a:rPr>
            <a:pPr/>
            <a:t>1024</a:t>
          </a:fld>
          <a:endParaRPr lang="en-IN" sz="1100"/>
        </a:p>
      </xdr:txBody>
    </xdr:sp>
    <xdr:clientData/>
  </xdr:twoCellAnchor>
  <xdr:twoCellAnchor>
    <xdr:from>
      <xdr:col>4</xdr:col>
      <xdr:colOff>87071</xdr:colOff>
      <xdr:row>4</xdr:row>
      <xdr:rowOff>9135</xdr:rowOff>
    </xdr:from>
    <xdr:to>
      <xdr:col>5</xdr:col>
      <xdr:colOff>14052</xdr:colOff>
      <xdr:row>5</xdr:row>
      <xdr:rowOff>55639</xdr:rowOff>
    </xdr:to>
    <xdr:sp macro="" textlink="Sheet1!A9">
      <xdr:nvSpPr>
        <xdr:cNvPr id="15" name="TextBox 14">
          <a:extLst>
            <a:ext uri="{FF2B5EF4-FFF2-40B4-BE49-F238E27FC236}">
              <a16:creationId xmlns:a16="http://schemas.microsoft.com/office/drawing/2014/main" id="{882D46B7-E01D-4A0E-A56A-49925DBFA250}"/>
            </a:ext>
          </a:extLst>
        </xdr:cNvPr>
        <xdr:cNvSpPr txBox="1"/>
      </xdr:nvSpPr>
      <xdr:spPr>
        <a:xfrm>
          <a:off x="2525471" y="740655"/>
          <a:ext cx="536581" cy="229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97FC97-71BD-4C69-84BE-FCC8B79B73C9}" type="TxLink">
            <a:rPr lang="en-US" sz="1100" b="0" i="0" u="none" strike="noStrike">
              <a:solidFill>
                <a:srgbClr val="000000"/>
              </a:solidFill>
              <a:latin typeface="Calibri"/>
              <a:ea typeface="Calibri"/>
              <a:cs typeface="Calibri"/>
            </a:rPr>
            <a:pPr/>
            <a:t>35.73</a:t>
          </a:fld>
          <a:endParaRPr lang="en-IN" sz="1100"/>
        </a:p>
      </xdr:txBody>
    </xdr:sp>
    <xdr:clientData/>
  </xdr:twoCellAnchor>
  <xdr:twoCellAnchor>
    <xdr:from>
      <xdr:col>3</xdr:col>
      <xdr:colOff>374911</xdr:colOff>
      <xdr:row>4</xdr:row>
      <xdr:rowOff>144780</xdr:rowOff>
    </xdr:from>
    <xdr:to>
      <xdr:col>5</xdr:col>
      <xdr:colOff>386080</xdr:colOff>
      <xdr:row>6</xdr:row>
      <xdr:rowOff>0</xdr:rowOff>
    </xdr:to>
    <xdr:sp macro="" textlink="">
      <xdr:nvSpPr>
        <xdr:cNvPr id="20" name="TextBox 19">
          <a:extLst>
            <a:ext uri="{FF2B5EF4-FFF2-40B4-BE49-F238E27FC236}">
              <a16:creationId xmlns:a16="http://schemas.microsoft.com/office/drawing/2014/main" id="{69F3E547-DE43-4B6C-8E6B-C03D6D97B924}"/>
            </a:ext>
          </a:extLst>
        </xdr:cNvPr>
        <xdr:cNvSpPr txBox="1"/>
      </xdr:nvSpPr>
      <xdr:spPr>
        <a:xfrm>
          <a:off x="2203711" y="876300"/>
          <a:ext cx="1230369"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a:t>
          </a:r>
          <a:r>
            <a:rPr lang="en-US" sz="1100" baseline="0"/>
            <a:t> w</a:t>
          </a:r>
          <a:r>
            <a:rPr lang="en-US" sz="1100"/>
            <a:t>ait time</a:t>
          </a:r>
        </a:p>
      </xdr:txBody>
    </xdr:sp>
    <xdr:clientData/>
  </xdr:twoCellAnchor>
  <xdr:twoCellAnchor>
    <xdr:from>
      <xdr:col>6</xdr:col>
      <xdr:colOff>245838</xdr:colOff>
      <xdr:row>3</xdr:row>
      <xdr:rowOff>172702</xdr:rowOff>
    </xdr:from>
    <xdr:to>
      <xdr:col>7</xdr:col>
      <xdr:colOff>218440</xdr:colOff>
      <xdr:row>5</xdr:row>
      <xdr:rowOff>39127</xdr:rowOff>
    </xdr:to>
    <xdr:sp macro="" textlink="Sheet1!A13">
      <xdr:nvSpPr>
        <xdr:cNvPr id="16" name="TextBox 15">
          <a:extLst>
            <a:ext uri="{FF2B5EF4-FFF2-40B4-BE49-F238E27FC236}">
              <a16:creationId xmlns:a16="http://schemas.microsoft.com/office/drawing/2014/main" id="{289666BD-2E65-42B9-A55E-D0A5EE831BA9}"/>
            </a:ext>
          </a:extLst>
        </xdr:cNvPr>
        <xdr:cNvSpPr txBox="1"/>
      </xdr:nvSpPr>
      <xdr:spPr>
        <a:xfrm>
          <a:off x="3903438" y="721342"/>
          <a:ext cx="582202" cy="232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057AC8-230E-404C-83A4-A4BBBEF0CA75}" type="TxLink">
            <a:rPr lang="en-US" sz="1100" b="0" i="0" u="none" strike="noStrike">
              <a:solidFill>
                <a:srgbClr val="000000"/>
              </a:solidFill>
              <a:latin typeface="Calibri"/>
              <a:ea typeface="Calibri"/>
              <a:cs typeface="Calibri"/>
            </a:rPr>
            <a:pPr/>
            <a:t>5.12</a:t>
          </a:fld>
          <a:endParaRPr lang="en-IN" sz="1100"/>
        </a:p>
      </xdr:txBody>
    </xdr:sp>
    <xdr:clientData/>
  </xdr:twoCellAnchor>
  <xdr:twoCellAnchor>
    <xdr:from>
      <xdr:col>5</xdr:col>
      <xdr:colOff>401320</xdr:colOff>
      <xdr:row>4</xdr:row>
      <xdr:rowOff>143847</xdr:rowOff>
    </xdr:from>
    <xdr:to>
      <xdr:col>8</xdr:col>
      <xdr:colOff>121920</xdr:colOff>
      <xdr:row>6</xdr:row>
      <xdr:rowOff>10273</xdr:rowOff>
    </xdr:to>
    <xdr:sp macro="" textlink="">
      <xdr:nvSpPr>
        <xdr:cNvPr id="21" name="TextBox 20">
          <a:extLst>
            <a:ext uri="{FF2B5EF4-FFF2-40B4-BE49-F238E27FC236}">
              <a16:creationId xmlns:a16="http://schemas.microsoft.com/office/drawing/2014/main" id="{5D0A4D2F-F768-491B-96ED-FEF236FA9D82}"/>
            </a:ext>
          </a:extLst>
        </xdr:cNvPr>
        <xdr:cNvSpPr txBox="1"/>
      </xdr:nvSpPr>
      <xdr:spPr>
        <a:xfrm>
          <a:off x="3449320" y="875367"/>
          <a:ext cx="1549400" cy="232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t>Patient satisfaction score</a:t>
          </a:r>
        </a:p>
      </xdr:txBody>
    </xdr:sp>
    <xdr:clientData/>
  </xdr:twoCellAnchor>
  <xdr:twoCellAnchor>
    <xdr:from>
      <xdr:col>8</xdr:col>
      <xdr:colOff>137160</xdr:colOff>
      <xdr:row>0</xdr:row>
      <xdr:rowOff>56299</xdr:rowOff>
    </xdr:from>
    <xdr:to>
      <xdr:col>11</xdr:col>
      <xdr:colOff>396240</xdr:colOff>
      <xdr:row>7</xdr:row>
      <xdr:rowOff>50800</xdr:rowOff>
    </xdr:to>
    <xdr:sp macro="" textlink="">
      <xdr:nvSpPr>
        <xdr:cNvPr id="41" name="Rectangle: Rounded Corners 40">
          <a:extLst>
            <a:ext uri="{FF2B5EF4-FFF2-40B4-BE49-F238E27FC236}">
              <a16:creationId xmlns:a16="http://schemas.microsoft.com/office/drawing/2014/main" id="{E1EB730A-051C-4823-85F5-1B4A2FF557C1}"/>
            </a:ext>
          </a:extLst>
        </xdr:cNvPr>
        <xdr:cNvSpPr/>
      </xdr:nvSpPr>
      <xdr:spPr>
        <a:xfrm>
          <a:off x="5013960" y="56299"/>
          <a:ext cx="2087880" cy="1274661"/>
        </a:xfrm>
        <a:prstGeom prst="roundRect">
          <a:avLst>
            <a:gd name="adj" fmla="val 3572"/>
          </a:avLst>
        </a:prstGeom>
        <a:solidFill>
          <a:schemeClr val="bg1"/>
        </a:solidFill>
        <a:ln w="8890">
          <a:solidFill>
            <a:srgbClr val="E4E9F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9216</a:t>
          </a:r>
        </a:p>
      </xdr:txBody>
    </xdr:sp>
    <xdr:clientData/>
  </xdr:twoCellAnchor>
  <xdr:twoCellAnchor>
    <xdr:from>
      <xdr:col>1</xdr:col>
      <xdr:colOff>279400</xdr:colOff>
      <xdr:row>7</xdr:row>
      <xdr:rowOff>117259</xdr:rowOff>
    </xdr:from>
    <xdr:to>
      <xdr:col>8</xdr:col>
      <xdr:colOff>46990</xdr:colOff>
      <xdr:row>11</xdr:row>
      <xdr:rowOff>111760</xdr:rowOff>
    </xdr:to>
    <xdr:sp macro="" textlink="">
      <xdr:nvSpPr>
        <xdr:cNvPr id="43" name="Rectangle: Rounded Corners 42">
          <a:extLst>
            <a:ext uri="{FF2B5EF4-FFF2-40B4-BE49-F238E27FC236}">
              <a16:creationId xmlns:a16="http://schemas.microsoft.com/office/drawing/2014/main" id="{91EA2A10-2E08-44A5-9CF7-AF2F75D71069}"/>
            </a:ext>
          </a:extLst>
        </xdr:cNvPr>
        <xdr:cNvSpPr/>
      </xdr:nvSpPr>
      <xdr:spPr>
        <a:xfrm>
          <a:off x="889000" y="1397419"/>
          <a:ext cx="4034790" cy="726021"/>
        </a:xfrm>
        <a:prstGeom prst="roundRect">
          <a:avLst>
            <a:gd name="adj" fmla="val 7956"/>
          </a:avLst>
        </a:prstGeom>
        <a:solidFill>
          <a:schemeClr val="bg1"/>
        </a:solidFill>
        <a:ln w="8890">
          <a:solidFill>
            <a:srgbClr val="E4E9F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9216</a:t>
          </a:r>
        </a:p>
      </xdr:txBody>
    </xdr:sp>
    <xdr:clientData/>
  </xdr:twoCellAnchor>
  <xdr:twoCellAnchor>
    <xdr:from>
      <xdr:col>1</xdr:col>
      <xdr:colOff>267970</xdr:colOff>
      <xdr:row>11</xdr:row>
      <xdr:rowOff>168059</xdr:rowOff>
    </xdr:from>
    <xdr:to>
      <xdr:col>8</xdr:col>
      <xdr:colOff>35560</xdr:colOff>
      <xdr:row>18</xdr:row>
      <xdr:rowOff>137160</xdr:rowOff>
    </xdr:to>
    <xdr:sp macro="" textlink="">
      <xdr:nvSpPr>
        <xdr:cNvPr id="44" name="Rectangle: Rounded Corners 43">
          <a:extLst>
            <a:ext uri="{FF2B5EF4-FFF2-40B4-BE49-F238E27FC236}">
              <a16:creationId xmlns:a16="http://schemas.microsoft.com/office/drawing/2014/main" id="{D0928A24-A691-4A74-AAA8-5D0D2BD9F0EF}"/>
            </a:ext>
          </a:extLst>
        </xdr:cNvPr>
        <xdr:cNvSpPr/>
      </xdr:nvSpPr>
      <xdr:spPr>
        <a:xfrm>
          <a:off x="877570" y="2179739"/>
          <a:ext cx="4034790" cy="1249261"/>
        </a:xfrm>
        <a:prstGeom prst="roundRect">
          <a:avLst>
            <a:gd name="adj" fmla="val 7143"/>
          </a:avLst>
        </a:prstGeom>
        <a:solidFill>
          <a:schemeClr val="bg1"/>
        </a:solidFill>
        <a:ln w="8890">
          <a:solidFill>
            <a:srgbClr val="E4E9F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9216</a:t>
          </a:r>
        </a:p>
      </xdr:txBody>
    </xdr:sp>
    <xdr:clientData/>
  </xdr:twoCellAnchor>
  <xdr:twoCellAnchor>
    <xdr:from>
      <xdr:col>1</xdr:col>
      <xdr:colOff>335280</xdr:colOff>
      <xdr:row>12</xdr:row>
      <xdr:rowOff>147320</xdr:rowOff>
    </xdr:from>
    <xdr:to>
      <xdr:col>7</xdr:col>
      <xdr:colOff>563880</xdr:colOff>
      <xdr:row>18</xdr:row>
      <xdr:rowOff>71120</xdr:rowOff>
    </xdr:to>
    <xdr:graphicFrame macro="">
      <xdr:nvGraphicFramePr>
        <xdr:cNvPr id="22" name="Chart 21">
          <a:extLst>
            <a:ext uri="{FF2B5EF4-FFF2-40B4-BE49-F238E27FC236}">
              <a16:creationId xmlns:a16="http://schemas.microsoft.com/office/drawing/2014/main" id="{45CE5C5E-5275-4B47-981F-29BF3EBF9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182880</xdr:colOff>
      <xdr:row>0</xdr:row>
      <xdr:rowOff>116840</xdr:rowOff>
    </xdr:from>
    <xdr:to>
      <xdr:col>11</xdr:col>
      <xdr:colOff>187960</xdr:colOff>
      <xdr:row>6</xdr:row>
      <xdr:rowOff>167640</xdr:rowOff>
    </xdr:to>
    <xdr:graphicFrame macro="">
      <xdr:nvGraphicFramePr>
        <xdr:cNvPr id="33" name="Chart 32">
          <a:extLst>
            <a:ext uri="{FF2B5EF4-FFF2-40B4-BE49-F238E27FC236}">
              <a16:creationId xmlns:a16="http://schemas.microsoft.com/office/drawing/2014/main" id="{D23F2964-2694-4C89-A0C4-513A0D1E9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455930</xdr:colOff>
      <xdr:row>0</xdr:row>
      <xdr:rowOff>51219</xdr:rowOff>
    </xdr:from>
    <xdr:to>
      <xdr:col>14</xdr:col>
      <xdr:colOff>563880</xdr:colOff>
      <xdr:row>7</xdr:row>
      <xdr:rowOff>45720</xdr:rowOff>
    </xdr:to>
    <xdr:sp macro="" textlink="">
      <xdr:nvSpPr>
        <xdr:cNvPr id="46" name="Rectangle: Rounded Corners 45">
          <a:extLst>
            <a:ext uri="{FF2B5EF4-FFF2-40B4-BE49-F238E27FC236}">
              <a16:creationId xmlns:a16="http://schemas.microsoft.com/office/drawing/2014/main" id="{A242C387-B057-4EF3-8B7B-97BD88F87721}"/>
            </a:ext>
          </a:extLst>
        </xdr:cNvPr>
        <xdr:cNvSpPr/>
      </xdr:nvSpPr>
      <xdr:spPr>
        <a:xfrm>
          <a:off x="7161530" y="51219"/>
          <a:ext cx="1936750" cy="1274661"/>
        </a:xfrm>
        <a:prstGeom prst="roundRect">
          <a:avLst>
            <a:gd name="adj" fmla="val 3572"/>
          </a:avLst>
        </a:prstGeom>
        <a:solidFill>
          <a:schemeClr val="bg1"/>
        </a:solidFill>
        <a:ln w="8890">
          <a:solidFill>
            <a:srgbClr val="E4E9F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9216</a:t>
          </a:r>
        </a:p>
      </xdr:txBody>
    </xdr:sp>
    <xdr:clientData/>
  </xdr:twoCellAnchor>
  <xdr:twoCellAnchor>
    <xdr:from>
      <xdr:col>11</xdr:col>
      <xdr:colOff>553720</xdr:colOff>
      <xdr:row>0</xdr:row>
      <xdr:rowOff>127000</xdr:rowOff>
    </xdr:from>
    <xdr:to>
      <xdr:col>14</xdr:col>
      <xdr:colOff>325120</xdr:colOff>
      <xdr:row>6</xdr:row>
      <xdr:rowOff>157480</xdr:rowOff>
    </xdr:to>
    <xdr:graphicFrame macro="">
      <xdr:nvGraphicFramePr>
        <xdr:cNvPr id="34" name="Chart 33">
          <a:extLst>
            <a:ext uri="{FF2B5EF4-FFF2-40B4-BE49-F238E27FC236}">
              <a16:creationId xmlns:a16="http://schemas.microsoft.com/office/drawing/2014/main" id="{54CE23B1-791F-4261-B3B1-FCA2586ED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475242</xdr:colOff>
      <xdr:row>0</xdr:row>
      <xdr:rowOff>55880</xdr:rowOff>
    </xdr:from>
    <xdr:to>
      <xdr:col>10</xdr:col>
      <xdr:colOff>477520</xdr:colOff>
      <xdr:row>1</xdr:row>
      <xdr:rowOff>78853</xdr:rowOff>
    </xdr:to>
    <xdr:sp macro="" textlink="Sheet1!A5">
      <xdr:nvSpPr>
        <xdr:cNvPr id="25" name="TextBox 24">
          <a:extLst>
            <a:ext uri="{FF2B5EF4-FFF2-40B4-BE49-F238E27FC236}">
              <a16:creationId xmlns:a16="http://schemas.microsoft.com/office/drawing/2014/main" id="{BCEE8F9A-42DB-4217-A9A0-B99430D3E05F}"/>
            </a:ext>
          </a:extLst>
        </xdr:cNvPr>
        <xdr:cNvSpPr txBox="1"/>
      </xdr:nvSpPr>
      <xdr:spPr>
        <a:xfrm>
          <a:off x="5352042" y="55880"/>
          <a:ext cx="1221478" cy="205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Patient</a:t>
          </a:r>
          <a:r>
            <a:rPr lang="en-IN" sz="900" baseline="0"/>
            <a:t> Attend Status</a:t>
          </a:r>
          <a:endParaRPr lang="en-IN" sz="900"/>
        </a:p>
      </xdr:txBody>
    </xdr:sp>
    <xdr:clientData/>
  </xdr:twoCellAnchor>
  <xdr:twoCellAnchor>
    <xdr:from>
      <xdr:col>8</xdr:col>
      <xdr:colOff>101600</xdr:colOff>
      <xdr:row>7</xdr:row>
      <xdr:rowOff>112179</xdr:rowOff>
    </xdr:from>
    <xdr:to>
      <xdr:col>14</xdr:col>
      <xdr:colOff>579120</xdr:colOff>
      <xdr:row>18</xdr:row>
      <xdr:rowOff>127000</xdr:rowOff>
    </xdr:to>
    <xdr:sp macro="" textlink="">
      <xdr:nvSpPr>
        <xdr:cNvPr id="47" name="Rectangle: Rounded Corners 46">
          <a:extLst>
            <a:ext uri="{FF2B5EF4-FFF2-40B4-BE49-F238E27FC236}">
              <a16:creationId xmlns:a16="http://schemas.microsoft.com/office/drawing/2014/main" id="{294CDED8-78A6-42D7-9284-D80A330641C7}"/>
            </a:ext>
          </a:extLst>
        </xdr:cNvPr>
        <xdr:cNvSpPr/>
      </xdr:nvSpPr>
      <xdr:spPr>
        <a:xfrm>
          <a:off x="4978400" y="1392339"/>
          <a:ext cx="4135120" cy="2026501"/>
        </a:xfrm>
        <a:prstGeom prst="roundRect">
          <a:avLst>
            <a:gd name="adj" fmla="val 3572"/>
          </a:avLst>
        </a:prstGeom>
        <a:solidFill>
          <a:schemeClr val="bg1"/>
        </a:solidFill>
        <a:ln w="8890">
          <a:solidFill>
            <a:srgbClr val="E4E9F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9216</a:t>
          </a:r>
        </a:p>
      </xdr:txBody>
    </xdr:sp>
    <xdr:clientData/>
  </xdr:twoCellAnchor>
  <xdr:twoCellAnchor>
    <xdr:from>
      <xdr:col>8</xdr:col>
      <xdr:colOff>137160</xdr:colOff>
      <xdr:row>8</xdr:row>
      <xdr:rowOff>96520</xdr:rowOff>
    </xdr:from>
    <xdr:to>
      <xdr:col>16</xdr:col>
      <xdr:colOff>548640</xdr:colOff>
      <xdr:row>18</xdr:row>
      <xdr:rowOff>60960</xdr:rowOff>
    </xdr:to>
    <xdr:graphicFrame macro="">
      <xdr:nvGraphicFramePr>
        <xdr:cNvPr id="35" name="Chart 34">
          <a:extLst>
            <a:ext uri="{FF2B5EF4-FFF2-40B4-BE49-F238E27FC236}">
              <a16:creationId xmlns:a16="http://schemas.microsoft.com/office/drawing/2014/main" id="{6921B624-1FD3-47B9-898A-F1E3E8B80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94242</xdr:colOff>
      <xdr:row>7</xdr:row>
      <xdr:rowOff>147320</xdr:rowOff>
    </xdr:from>
    <xdr:to>
      <xdr:col>12</xdr:col>
      <xdr:colOff>45720</xdr:colOff>
      <xdr:row>8</xdr:row>
      <xdr:rowOff>121920</xdr:rowOff>
    </xdr:to>
    <xdr:sp macro="" textlink="Sheet1!A5">
      <xdr:nvSpPr>
        <xdr:cNvPr id="26" name="TextBox 25">
          <a:extLst>
            <a:ext uri="{FF2B5EF4-FFF2-40B4-BE49-F238E27FC236}">
              <a16:creationId xmlns:a16="http://schemas.microsoft.com/office/drawing/2014/main" id="{2CD141E4-C273-47E7-8127-AE0C1E115728}"/>
            </a:ext>
          </a:extLst>
        </xdr:cNvPr>
        <xdr:cNvSpPr txBox="1"/>
      </xdr:nvSpPr>
      <xdr:spPr>
        <a:xfrm>
          <a:off x="4971042" y="1427480"/>
          <a:ext cx="2389878" cy="15748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a:t>No.</a:t>
          </a:r>
          <a:r>
            <a:rPr lang="en-IN" sz="900" baseline="0"/>
            <a:t> of Patient by Department Referal</a:t>
          </a:r>
          <a:endParaRPr lang="en-IN" sz="900"/>
        </a:p>
      </xdr:txBody>
    </xdr:sp>
    <xdr:clientData/>
  </xdr:twoCellAnchor>
  <xdr:twoCellAnchor>
    <xdr:from>
      <xdr:col>11</xdr:col>
      <xdr:colOff>533400</xdr:colOff>
      <xdr:row>0</xdr:row>
      <xdr:rowOff>81280</xdr:rowOff>
    </xdr:from>
    <xdr:to>
      <xdr:col>14</xdr:col>
      <xdr:colOff>472440</xdr:colOff>
      <xdr:row>1</xdr:row>
      <xdr:rowOff>71120</xdr:rowOff>
    </xdr:to>
    <xdr:sp macro="" textlink="Sheet1!A5">
      <xdr:nvSpPr>
        <xdr:cNvPr id="48" name="TextBox 47">
          <a:extLst>
            <a:ext uri="{FF2B5EF4-FFF2-40B4-BE49-F238E27FC236}">
              <a16:creationId xmlns:a16="http://schemas.microsoft.com/office/drawing/2014/main" id="{B37080C5-C75E-4B81-AB24-94FAAF072164}"/>
            </a:ext>
          </a:extLst>
        </xdr:cNvPr>
        <xdr:cNvSpPr txBox="1"/>
      </xdr:nvSpPr>
      <xdr:spPr>
        <a:xfrm>
          <a:off x="7239000" y="81280"/>
          <a:ext cx="1767840" cy="1727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Gender</a:t>
          </a:r>
          <a:r>
            <a:rPr lang="en-IN" sz="900" baseline="0"/>
            <a:t> wise Analysis</a:t>
          </a:r>
          <a:endParaRPr lang="en-IN" sz="900"/>
        </a:p>
      </xdr:txBody>
    </xdr:sp>
    <xdr:clientData/>
  </xdr:twoCellAnchor>
  <xdr:twoCellAnchor>
    <xdr:from>
      <xdr:col>1</xdr:col>
      <xdr:colOff>282202</xdr:colOff>
      <xdr:row>12</xdr:row>
      <xdr:rowOff>35560</xdr:rowOff>
    </xdr:from>
    <xdr:to>
      <xdr:col>5</xdr:col>
      <xdr:colOff>233680</xdr:colOff>
      <xdr:row>13</xdr:row>
      <xdr:rowOff>10160</xdr:rowOff>
    </xdr:to>
    <xdr:sp macro="" textlink="Sheet1!A5">
      <xdr:nvSpPr>
        <xdr:cNvPr id="49" name="TextBox 48">
          <a:extLst>
            <a:ext uri="{FF2B5EF4-FFF2-40B4-BE49-F238E27FC236}">
              <a16:creationId xmlns:a16="http://schemas.microsoft.com/office/drawing/2014/main" id="{A6BA6167-05D8-40DD-977D-85B152FEDAAD}"/>
            </a:ext>
          </a:extLst>
        </xdr:cNvPr>
        <xdr:cNvSpPr txBox="1"/>
      </xdr:nvSpPr>
      <xdr:spPr>
        <a:xfrm>
          <a:off x="891802" y="2230120"/>
          <a:ext cx="2389878" cy="15748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a:t>No.</a:t>
          </a:r>
          <a:r>
            <a:rPr lang="en-IN" sz="900" baseline="0"/>
            <a:t> of Patient by Age Group</a:t>
          </a:r>
          <a:endParaRPr lang="en-IN" sz="900"/>
        </a:p>
      </xdr:txBody>
    </xdr:sp>
    <xdr:clientData/>
  </xdr:twoCellAnchor>
  <xdr:twoCellAnchor editAs="oneCell">
    <xdr:from>
      <xdr:col>6</xdr:col>
      <xdr:colOff>340360</xdr:colOff>
      <xdr:row>0</xdr:row>
      <xdr:rowOff>101601</xdr:rowOff>
    </xdr:from>
    <xdr:to>
      <xdr:col>8</xdr:col>
      <xdr:colOff>81280</xdr:colOff>
      <xdr:row>2</xdr:row>
      <xdr:rowOff>81281</xdr:rowOff>
    </xdr:to>
    <mc:AlternateContent xmlns:mc="http://schemas.openxmlformats.org/markup-compatibility/2006" xmlns:a14="http://schemas.microsoft.com/office/drawing/2010/main">
      <mc:Choice Requires="a14">
        <xdr:graphicFrame macro="">
          <xdr:nvGraphicFramePr>
            <xdr:cNvPr id="50" name="Date (Year)">
              <a:extLst>
                <a:ext uri="{FF2B5EF4-FFF2-40B4-BE49-F238E27FC236}">
                  <a16:creationId xmlns:a16="http://schemas.microsoft.com/office/drawing/2014/main" id="{3EB92FEF-2538-4562-B4EA-1DA50F34241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997960" y="101601"/>
              <a:ext cx="960120" cy="34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396240</xdr:colOff>
          <xdr:row>8</xdr:row>
          <xdr:rowOff>132080</xdr:rowOff>
        </xdr:from>
        <xdr:to>
          <xdr:col>7</xdr:col>
          <xdr:colOff>594360</xdr:colOff>
          <xdr:row>11</xdr:row>
          <xdr:rowOff>83820</xdr:rowOff>
        </xdr:to>
        <xdr:pic>
          <xdr:nvPicPr>
            <xdr:cNvPr id="56" name="Picture 55">
              <a:extLst>
                <a:ext uri="{FF2B5EF4-FFF2-40B4-BE49-F238E27FC236}">
                  <a16:creationId xmlns:a16="http://schemas.microsoft.com/office/drawing/2014/main" id="{38F014FE-9602-42E1-8BEA-26B0BEB5EAFC}"/>
                </a:ext>
              </a:extLst>
            </xdr:cNvPr>
            <xdr:cNvPicPr>
              <a:picLocks noChangeAspect="1" noChangeArrowheads="1"/>
              <a:extLst>
                <a:ext uri="{84589F7E-364E-4C9E-8A38-B11213B215E9}">
                  <a14:cameraTool cellRange="Sheet1!$F$9:$I$11" spid="_x0000_s2061"/>
                </a:ext>
              </a:extLst>
            </xdr:cNvPicPr>
          </xdr:nvPicPr>
          <xdr:blipFill rotWithShape="1">
            <a:blip xmlns:r="http://schemas.openxmlformats.org/officeDocument/2006/relationships" r:embed="rId6"/>
            <a:srcRect r="11771"/>
            <a:stretch>
              <a:fillRect/>
            </a:stretch>
          </xdr:blipFill>
          <xdr:spPr bwMode="auto">
            <a:xfrm>
              <a:off x="1005840" y="1595120"/>
              <a:ext cx="3855720" cy="500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261882</xdr:colOff>
      <xdr:row>7</xdr:row>
      <xdr:rowOff>127000</xdr:rowOff>
    </xdr:from>
    <xdr:to>
      <xdr:col>5</xdr:col>
      <xdr:colOff>213360</xdr:colOff>
      <xdr:row>8</xdr:row>
      <xdr:rowOff>101600</xdr:rowOff>
    </xdr:to>
    <xdr:sp macro="" textlink="Sheet1!A5">
      <xdr:nvSpPr>
        <xdr:cNvPr id="32" name="TextBox 31">
          <a:extLst>
            <a:ext uri="{FF2B5EF4-FFF2-40B4-BE49-F238E27FC236}">
              <a16:creationId xmlns:a16="http://schemas.microsoft.com/office/drawing/2014/main" id="{F3DD71CE-4799-4A33-B5C0-2C408877DEC6}"/>
            </a:ext>
          </a:extLst>
        </xdr:cNvPr>
        <xdr:cNvSpPr txBox="1"/>
      </xdr:nvSpPr>
      <xdr:spPr>
        <a:xfrm>
          <a:off x="871482" y="1407160"/>
          <a:ext cx="2389878" cy="15748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a:t>No.</a:t>
          </a:r>
          <a:r>
            <a:rPr lang="en-IN" sz="900" baseline="0"/>
            <a:t> of Patient by </a:t>
          </a:r>
          <a:r>
            <a:rPr lang="en-IN" sz="900"/>
            <a:t>Admission Status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6666667" createdVersion="5" refreshedVersion="7" minRefreshableVersion="3" recordCount="0" supportSubquery="1" supportAdvancedDrill="1" xr:uid="{D2423F92-02C7-4C2C-938C-81854DE74D2D}">
  <cacheSource type="external" connectionId="3"/>
  <cacheFields count="4">
    <cacheField name="[Calendar_Table].[Date (Month)].[Date (Month)]" caption="Date (Month)" numFmtId="0" hierarchy="1" level="1">
      <sharedItems containsNonDate="0"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ntainsNonDate="0" count="1">
        <s v="Qtr1"/>
      </sharedItems>
    </cacheField>
    <cacheField name="[Calendar_Table].[Date (Year)].[Date (Year)]" caption="Date (Year)" numFmtId="0" hierarchy="3" level="1">
      <sharedItems count="2">
        <s v="2023"/>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7361113" createdVersion="5" refreshedVersion="7" minRefreshableVersion="3" recordCount="0" supportSubquery="1" supportAdvancedDrill="1" xr:uid="{1CF2F276-DA99-43CD-A64B-767CF66898D3}">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7361113" createdVersion="5" refreshedVersion="7" minRefreshableVersion="3" recordCount="0" supportSubquery="1" supportAdvancedDrill="1" xr:uid="{0199029B-C6C5-4603-87E2-09991ED09233}">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7939814" createdVersion="5" refreshedVersion="7" minRefreshableVersion="3" recordCount="0" supportSubquery="1" supportAdvancedDrill="1" xr:uid="{B7D51F4D-FA40-4F61-A61F-0A591B1BF4E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8171299" createdVersion="5" refreshedVersion="7" minRefreshableVersion="3" recordCount="0" supportSubquery="1" supportAdvancedDrill="1" xr:uid="{498483B9-050B-4FE5-A6E1-47B256CF9D16}">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8287037" createdVersion="5" refreshedVersion="7" minRefreshableVersion="3" recordCount="0" supportSubquery="1" supportAdvancedDrill="1" xr:uid="{696C76B1-9260-4B0F-8CC0-6A6EE34354A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8634261" createdVersion="5" refreshedVersion="7" minRefreshableVersion="3" recordCount="0" supportSubquery="1" supportAdvancedDrill="1" xr:uid="{FEB9084D-7ABC-4F58-9A4E-DFAEE6F6BDD2}">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8981484" createdVersion="5" refreshedVersion="7" minRefreshableVersion="3" recordCount="0" supportSubquery="1" supportAdvancedDrill="1" xr:uid="{EC302777-523A-4C6B-9D21-021B8D0805A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9328707" createdVersion="5" refreshedVersion="7" minRefreshableVersion="3" recordCount="0" supportSubquery="1" supportAdvancedDrill="1" xr:uid="{CAC15EFE-A9B4-46C0-8A9D-284D85D89442}">
  <cacheSource type="external" connectionId="3"/>
  <cacheFields count="5">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233.570219791669" createdVersion="5" refreshedVersion="7" minRefreshableVersion="3" recordCount="0" supportSubquery="1" supportAdvancedDrill="1" xr:uid="{74BA688F-A9F4-4CB0-B394-67C74E4E0D69}">
  <cacheSource type="external" connectionId="3"/>
  <cacheFields count="4">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3.558931828702" createdVersion="3" refreshedVersion="7" minRefreshableVersion="3" recordCount="0" supportSubquery="1" supportAdvancedDrill="1" xr:uid="{C332939F-9850-4265-ACB2-F33117E46433}">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497458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5426BC-9A9B-4719-8F9A-168B5DAF1D55}" name="PivotTable2" cacheId="2" applyNumberFormats="0" applyBorderFormats="0" applyFontFormats="0" applyPatternFormats="0" applyAlignmentFormats="0" applyWidthHeightFormats="1" dataCaption="Values" tag="7286e16b-c2e0-456d-847d-3b0f647ce72d"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CF7DFB-C557-41EA-9FBD-1F75C70AEEE0}" name="PivotTable10" cacheId="0" applyNumberFormats="0" applyBorderFormats="0" applyFontFormats="0" applyPatternFormats="0" applyAlignmentFormats="0" applyWidthHeightFormats="1" dataCaption="Values" tag="357fd2f9-01a0-4aae-9d44-6eba83bf13f9" updatedVersion="7" minRefreshableVersion="3" subtotalHiddenItems="1" itemPrintTitles="1" createdVersion="5" indent="0" outline="1" outlineData="1" multipleFieldFilters="0" chartFormat="11">
  <location ref="F29:F3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pivotHierarchies count="33">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ofPatiAdFlag"/>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98AC38-CCC9-4EC2-889E-DDA4B74783DD}" name="PivotTable5" cacheId="5" applyNumberFormats="0" applyBorderFormats="0" applyFontFormats="0" applyPatternFormats="0" applyAlignmentFormats="0" applyWidthHeightFormats="1" dataCaption="Values" tag="5afca598-3597-4a0c-93c9-761bc0beebcf" updatedVersion="7"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pivotHierarchies count="33">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6F039F-865D-4C47-AA97-B7DA7DEF1BE6}" name="PivotTable3" cacheId="3" applyNumberFormats="0" applyBorderFormats="0" applyFontFormats="0" applyPatternFormats="0" applyAlignmentFormats="0" applyWidthHeightFormats="1" dataCaption="Values" tag="357fd2f9-01a0-4aae-9d44-6eba83bf13f9" updatedVersion="7" minRefreshableVersion="3" subtotalHiddenItems="1" itemPrintTitles="1" createdVersion="5" indent="0" outline="1" outlineData="1" multipleFieldFilters="0" chartFormat="8">
  <location ref="I17:J2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6">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ofPatiAd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1FEC13-F4B1-4003-8C6D-FAD87734C98A}" name="PivotTable4" cacheId="4" applyNumberFormats="0" applyBorderFormats="0" applyFontFormats="0" applyPatternFormats="0" applyAlignmentFormats="0" applyWidthHeightFormats="1" dataCaption="Values" tag="fc8905d1-0796-4110-91b7-0dae0a1136b2"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pivotHierarchies count="33">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1B64C7-BA36-4107-AD8B-E04603DDC2D4}" name="PivotTable9" cacheId="9" applyNumberFormats="0" applyBorderFormats="0" applyFontFormats="0" applyPatternFormats="0" applyAlignmentFormats="0" applyWidthHeightFormats="1" dataCaption="Values" tag="357fd2f9-01a0-4aae-9d44-6eba83bf13f9" updatedVersion="7" minRefreshableVersion="3" subtotalHiddenItems="1" itemPrintTitles="1" createdVersion="5" indent="0" outline="1" outlineData="1" multipleFieldFilters="0" chartFormat="5">
  <location ref="F17:G26"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ofPatiAd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1B13CB-C9E6-46A4-996D-517DEC0C6D4B}" name="PivotTable8" cacheId="8" applyNumberFormats="0" applyBorderFormats="0" applyFontFormats="0" applyPatternFormats="0" applyAlignmentFormats="0" applyWidthHeightFormats="1" dataCaption="Values" tag="fc131909-425a-4b4d-bb7f-b88c66151d69" updatedVersion="7" minRefreshableVersion="3" subtotalHiddenItems="1" itemPrintTitles="1" createdVersion="5" indent="0" outline="1" outlineData="1" multipleFieldFilters="0" chartFormat="2">
  <location ref="F3:H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ofPatiAd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ofPatiAdFlag"/>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23D774-03D3-4662-8901-490E2CCCF668}" name="PivotTable7" cacheId="7" applyNumberFormats="0" applyBorderFormats="0" applyFontFormats="0" applyPatternFormats="0" applyAlignmentFormats="0" applyWidthHeightFormats="1" dataCaption="Values" tag="357fd2f9-01a0-4aae-9d44-6eba83bf13f9" updatedVersion="7" minRefreshableVersion="3" subtotalHiddenItems="1" itemPrintTitles="1" createdVersion="5" indent="0" outline="1" outlineData="1" multipleFieldFilters="0" chartFormat="11">
  <location ref="I29:J3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ofPatiAd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766703-2E3E-4091-B208-8D3257C764BB}" name="PivotTable1" cacheId="1" applyNumberFormats="0" applyBorderFormats="0" applyFontFormats="0" applyPatternFormats="0" applyAlignmentFormats="0" applyWidthHeightFormats="1" dataCaption="Values" tag="7286e16b-c2e0-456d-847d-3b0f647ce72d" updatedVersion="7" minRefreshableVersion="3" subtotalHiddenItems="1" itemPrintTitles="1" createdVersion="5" indent="0" outline="1" outlineData="1" multipleFieldFilters="0" chartFormat="6">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6777AB-6962-4DD9-ADC1-5CD10E2B0ED2}" name="PivotTable6" cacheId="6" applyNumberFormats="0" applyBorderFormats="0" applyFontFormats="0" applyPatternFormats="0" applyAlignmentFormats="0" applyWidthHeightFormats="1" dataCaption="Values" tag="357fd2f9-01a0-4aae-9d44-6eba83bf13f9" updatedVersion="7" minRefreshableVersion="3" subtotalHiddenItems="1" itemPrintTitles="1" createdVersion="5" indent="0" outline="1" outlineData="1" multipleFieldFilters="0" chartFormat="11">
  <location ref="I23:J2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chartFormats count="4">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ofPatiAd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BE309CC-604E-4F06-9B2F-21B8C9F2E81B}" sourceName="[Calendar_Table].[Date (Month)]">
  <pivotTables>
    <pivotTable tabId="2" name="PivotTable1"/>
    <pivotTable tabId="2" name="PivotTable2"/>
    <pivotTable tabId="2" name="PivotTable4"/>
    <pivotTable tabId="2" name="PivotTable5"/>
    <pivotTable tabId="2" name="PivotTable8"/>
    <pivotTable tabId="2" name="PivotTable9"/>
    <pivotTable tabId="2" name="PivotTable3"/>
    <pivotTable tabId="2" name="PivotTable6"/>
    <pivotTable tabId="2" name="PivotTable7"/>
    <pivotTable tabId="2" name="PivotTable10"/>
  </pivotTables>
  <data>
    <olap pivotCacheId="74974580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AAFF2A5-ACCC-4544-9B90-B2359F091DBB}" sourceName="[Calendar_Table].[Date (Year)]">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74974580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12BA995-1457-4B89-A6ED-5558B157EB02}" cache="Slicer_Date__Month" caption="Date (Month)" showCaption="0" level="1" style="MyStyle2" rowHeight="180000"/>
  <slicer name="Date (Year)" xr10:uid="{3FCADA6B-9D7F-44FE-9B17-35F6A773B685}" cache="Slicer_Date__Year" caption="Date (Year)" columnCount="2" showCaption="0" level="1" style="MyStyle2"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4EAB-21BA-4A05-9B0E-93AA33D17707}">
  <dimension ref="A3:K38"/>
  <sheetViews>
    <sheetView topLeftCell="D1" workbookViewId="0">
      <selection activeCell="I7" sqref="I7"/>
    </sheetView>
  </sheetViews>
  <sheetFormatPr defaultRowHeight="14.4" x14ac:dyDescent="0.3"/>
  <cols>
    <col min="1" max="1" width="32.44140625" bestFit="1" customWidth="1"/>
    <col min="3" max="3" width="32.109375" customWidth="1"/>
    <col min="4" max="4" width="24" customWidth="1"/>
    <col min="6" max="6" width="14.77734375" bestFit="1" customWidth="1"/>
    <col min="7" max="7" width="14.21875" customWidth="1"/>
    <col min="9" max="9" width="22.6640625" customWidth="1"/>
  </cols>
  <sheetData>
    <row r="3" spans="1:11" x14ac:dyDescent="0.3">
      <c r="A3" t="s">
        <v>1</v>
      </c>
      <c r="F3" s="3" t="s">
        <v>4</v>
      </c>
      <c r="G3" t="s">
        <v>11</v>
      </c>
      <c r="H3" t="s">
        <v>8</v>
      </c>
    </row>
    <row r="4" spans="1:11" x14ac:dyDescent="0.3">
      <c r="A4" t="s">
        <v>0</v>
      </c>
      <c r="C4" s="3" t="s">
        <v>4</v>
      </c>
      <c r="D4" t="s">
        <v>0</v>
      </c>
      <c r="F4" s="4" t="s">
        <v>6</v>
      </c>
      <c r="G4" s="1">
        <v>476</v>
      </c>
      <c r="H4" s="7">
        <v>0.46484375</v>
      </c>
    </row>
    <row r="5" spans="1:11" x14ac:dyDescent="0.3">
      <c r="A5" s="1">
        <v>1024</v>
      </c>
      <c r="C5" s="4" t="s">
        <v>36</v>
      </c>
      <c r="D5" s="1">
        <v>42</v>
      </c>
      <c r="F5" s="4" t="s">
        <v>7</v>
      </c>
      <c r="G5" s="1">
        <v>548</v>
      </c>
      <c r="H5" s="7">
        <v>0.53515625</v>
      </c>
    </row>
    <row r="6" spans="1:11" x14ac:dyDescent="0.3">
      <c r="C6" s="4" t="s">
        <v>37</v>
      </c>
      <c r="D6" s="1">
        <v>34</v>
      </c>
      <c r="F6" s="4" t="s">
        <v>5</v>
      </c>
      <c r="G6" s="1">
        <v>1024</v>
      </c>
      <c r="H6" s="7">
        <v>1</v>
      </c>
    </row>
    <row r="7" spans="1:11" x14ac:dyDescent="0.3">
      <c r="C7" s="4" t="s">
        <v>38</v>
      </c>
      <c r="D7" s="1">
        <v>31</v>
      </c>
    </row>
    <row r="8" spans="1:11" x14ac:dyDescent="0.3">
      <c r="A8" t="s">
        <v>2</v>
      </c>
      <c r="C8" s="4" t="s">
        <v>39</v>
      </c>
      <c r="D8" s="1">
        <v>29</v>
      </c>
    </row>
    <row r="9" spans="1:11" x14ac:dyDescent="0.3">
      <c r="A9" s="2">
        <v>35.73046875</v>
      </c>
      <c r="C9" s="4" t="s">
        <v>40</v>
      </c>
      <c r="D9" s="1">
        <v>42</v>
      </c>
      <c r="F9" s="9" t="s">
        <v>9</v>
      </c>
      <c r="G9" s="9" t="s">
        <v>1</v>
      </c>
      <c r="H9" s="9" t="s">
        <v>10</v>
      </c>
      <c r="I9" s="12"/>
      <c r="J9" s="8"/>
      <c r="K9" s="5"/>
    </row>
    <row r="10" spans="1:11" x14ac:dyDescent="0.3">
      <c r="C10" s="4" t="s">
        <v>41</v>
      </c>
      <c r="D10" s="1">
        <v>22</v>
      </c>
      <c r="F10" s="10" t="str">
        <f>F5</f>
        <v>Not Admitted</v>
      </c>
      <c r="G10" s="10">
        <f t="shared" ref="G10:H10" si="0">G5</f>
        <v>548</v>
      </c>
      <c r="H10" s="11">
        <f t="shared" si="0"/>
        <v>0.53515625</v>
      </c>
      <c r="I10" s="12"/>
      <c r="J10" s="5"/>
      <c r="K10" s="5"/>
    </row>
    <row r="11" spans="1:11" x14ac:dyDescent="0.3">
      <c r="C11" s="4" t="s">
        <v>42</v>
      </c>
      <c r="D11" s="1">
        <v>28</v>
      </c>
      <c r="F11" s="10" t="str">
        <f>F4</f>
        <v>Admitted</v>
      </c>
      <c r="G11" s="10">
        <f t="shared" ref="G11:H11" si="1">G4</f>
        <v>476</v>
      </c>
      <c r="H11" s="11">
        <f t="shared" si="1"/>
        <v>0.46484375</v>
      </c>
      <c r="I11" s="12"/>
      <c r="J11" s="5"/>
      <c r="K11" s="5"/>
    </row>
    <row r="12" spans="1:11" x14ac:dyDescent="0.3">
      <c r="A12" t="s">
        <v>3</v>
      </c>
      <c r="C12" s="4" t="s">
        <v>43</v>
      </c>
      <c r="D12" s="1">
        <v>31</v>
      </c>
    </row>
    <row r="13" spans="1:11" x14ac:dyDescent="0.3">
      <c r="A13" s="2">
        <v>5.1166666666666663</v>
      </c>
      <c r="C13" s="4" t="s">
        <v>44</v>
      </c>
      <c r="D13" s="1">
        <v>24</v>
      </c>
    </row>
    <row r="14" spans="1:11" x14ac:dyDescent="0.3">
      <c r="C14" s="4" t="s">
        <v>45</v>
      </c>
      <c r="D14" s="1">
        <v>48</v>
      </c>
    </row>
    <row r="15" spans="1:11" x14ac:dyDescent="0.3">
      <c r="C15" s="4" t="s">
        <v>46</v>
      </c>
      <c r="D15" s="1">
        <v>32</v>
      </c>
    </row>
    <row r="16" spans="1:11" x14ac:dyDescent="0.3">
      <c r="C16" s="4" t="s">
        <v>47</v>
      </c>
      <c r="D16" s="1">
        <v>37</v>
      </c>
    </row>
    <row r="17" spans="3:10" x14ac:dyDescent="0.3">
      <c r="C17" s="4" t="s">
        <v>48</v>
      </c>
      <c r="D17" s="1">
        <v>30</v>
      </c>
      <c r="F17" s="3" t="s">
        <v>4</v>
      </c>
      <c r="G17" t="s">
        <v>20</v>
      </c>
      <c r="I17" s="3" t="s">
        <v>4</v>
      </c>
      <c r="J17" t="s">
        <v>24</v>
      </c>
    </row>
    <row r="18" spans="3:10" x14ac:dyDescent="0.3">
      <c r="C18" s="4" t="s">
        <v>49</v>
      </c>
      <c r="D18" s="1">
        <v>27</v>
      </c>
      <c r="F18" s="4" t="s">
        <v>12</v>
      </c>
      <c r="G18" s="1">
        <v>133</v>
      </c>
      <c r="I18" s="4" t="s">
        <v>23</v>
      </c>
      <c r="J18" s="1">
        <v>630</v>
      </c>
    </row>
    <row r="19" spans="3:10" x14ac:dyDescent="0.3">
      <c r="C19" s="4" t="s">
        <v>50</v>
      </c>
      <c r="D19" s="1">
        <v>32</v>
      </c>
      <c r="F19" s="4" t="s">
        <v>13</v>
      </c>
      <c r="G19" s="1">
        <v>136</v>
      </c>
      <c r="I19" s="4" t="s">
        <v>22</v>
      </c>
      <c r="J19" s="1">
        <v>394</v>
      </c>
    </row>
    <row r="20" spans="3:10" x14ac:dyDescent="0.3">
      <c r="C20" s="4" t="s">
        <v>51</v>
      </c>
      <c r="D20" s="1">
        <v>33</v>
      </c>
      <c r="F20" s="4" t="s">
        <v>14</v>
      </c>
      <c r="G20" s="1">
        <v>123</v>
      </c>
      <c r="I20" s="4" t="s">
        <v>5</v>
      </c>
      <c r="J20" s="1">
        <v>1024</v>
      </c>
    </row>
    <row r="21" spans="3:10" x14ac:dyDescent="0.3">
      <c r="C21" s="4" t="s">
        <v>52</v>
      </c>
      <c r="D21" s="1">
        <v>37</v>
      </c>
      <c r="F21" s="4" t="s">
        <v>15</v>
      </c>
      <c r="G21" s="1">
        <v>133</v>
      </c>
    </row>
    <row r="22" spans="3:10" x14ac:dyDescent="0.3">
      <c r="C22" s="4" t="s">
        <v>53</v>
      </c>
      <c r="D22" s="1">
        <v>33</v>
      </c>
      <c r="F22" s="4" t="s">
        <v>16</v>
      </c>
      <c r="G22" s="1">
        <v>120</v>
      </c>
    </row>
    <row r="23" spans="3:10" x14ac:dyDescent="0.3">
      <c r="C23" s="4" t="s">
        <v>54</v>
      </c>
      <c r="D23" s="1">
        <v>35</v>
      </c>
      <c r="F23" s="4" t="s">
        <v>17</v>
      </c>
      <c r="G23" s="1">
        <v>123</v>
      </c>
      <c r="I23" s="3" t="s">
        <v>4</v>
      </c>
      <c r="J23" t="s">
        <v>21</v>
      </c>
    </row>
    <row r="24" spans="3:10" x14ac:dyDescent="0.3">
      <c r="C24" s="4" t="s">
        <v>55</v>
      </c>
      <c r="D24" s="1">
        <v>45</v>
      </c>
      <c r="F24" s="4" t="s">
        <v>18</v>
      </c>
      <c r="G24" s="1">
        <v>140</v>
      </c>
      <c r="I24" s="4" t="s">
        <v>25</v>
      </c>
      <c r="J24" s="1">
        <v>500</v>
      </c>
    </row>
    <row r="25" spans="3:10" x14ac:dyDescent="0.3">
      <c r="C25" s="4" t="s">
        <v>56</v>
      </c>
      <c r="D25" s="1">
        <v>26</v>
      </c>
      <c r="F25" s="4" t="s">
        <v>19</v>
      </c>
      <c r="G25" s="1">
        <v>116</v>
      </c>
      <c r="I25" s="4" t="s">
        <v>26</v>
      </c>
      <c r="J25" s="1">
        <v>524</v>
      </c>
    </row>
    <row r="26" spans="3:10" x14ac:dyDescent="0.3">
      <c r="C26" s="4" t="s">
        <v>57</v>
      </c>
      <c r="D26" s="1">
        <v>24</v>
      </c>
      <c r="F26" s="4" t="s">
        <v>5</v>
      </c>
      <c r="G26" s="1">
        <v>1024</v>
      </c>
      <c r="I26" s="4" t="s">
        <v>5</v>
      </c>
      <c r="J26" s="1">
        <v>1024</v>
      </c>
    </row>
    <row r="27" spans="3:10" x14ac:dyDescent="0.3">
      <c r="C27" s="4" t="s">
        <v>58</v>
      </c>
      <c r="D27" s="1">
        <v>34</v>
      </c>
    </row>
    <row r="28" spans="3:10" x14ac:dyDescent="0.3">
      <c r="C28" s="4" t="s">
        <v>59</v>
      </c>
      <c r="D28" s="1">
        <v>31</v>
      </c>
    </row>
    <row r="29" spans="3:10" x14ac:dyDescent="0.3">
      <c r="C29" s="4" t="s">
        <v>60</v>
      </c>
      <c r="D29" s="1">
        <v>42</v>
      </c>
      <c r="F29" s="3" t="s">
        <v>4</v>
      </c>
      <c r="I29" s="3" t="s">
        <v>4</v>
      </c>
      <c r="J29" t="s">
        <v>35</v>
      </c>
    </row>
    <row r="30" spans="3:10" x14ac:dyDescent="0.3">
      <c r="C30" s="4" t="s">
        <v>61</v>
      </c>
      <c r="D30" s="1">
        <v>31</v>
      </c>
      <c r="F30" s="4" t="s">
        <v>67</v>
      </c>
      <c r="I30" s="4" t="s">
        <v>34</v>
      </c>
      <c r="J30" s="1">
        <v>13</v>
      </c>
    </row>
    <row r="31" spans="3:10" x14ac:dyDescent="0.3">
      <c r="C31" s="4" t="s">
        <v>62</v>
      </c>
      <c r="D31" s="1">
        <v>34</v>
      </c>
      <c r="F31" s="4" t="s">
        <v>68</v>
      </c>
      <c r="I31" s="4" t="s">
        <v>28</v>
      </c>
      <c r="J31" s="1">
        <v>18</v>
      </c>
    </row>
    <row r="32" spans="3:10" x14ac:dyDescent="0.3">
      <c r="C32" s="4" t="s">
        <v>63</v>
      </c>
      <c r="D32" s="1">
        <v>38</v>
      </c>
      <c r="F32" s="4" t="s">
        <v>5</v>
      </c>
      <c r="I32" s="4" t="s">
        <v>30</v>
      </c>
      <c r="J32" s="1">
        <v>22</v>
      </c>
    </row>
    <row r="33" spans="3:10" x14ac:dyDescent="0.3">
      <c r="C33" s="4" t="s">
        <v>64</v>
      </c>
      <c r="D33" s="1">
        <v>39</v>
      </c>
      <c r="I33" s="4" t="s">
        <v>33</v>
      </c>
      <c r="J33" s="1">
        <v>29</v>
      </c>
    </row>
    <row r="34" spans="3:10" x14ac:dyDescent="0.3">
      <c r="C34" s="4" t="s">
        <v>65</v>
      </c>
      <c r="D34" s="1">
        <v>25</v>
      </c>
      <c r="I34" s="4" t="s">
        <v>27</v>
      </c>
      <c r="J34" s="1">
        <v>29</v>
      </c>
    </row>
    <row r="35" spans="3:10" x14ac:dyDescent="0.3">
      <c r="C35" s="4" t="s">
        <v>66</v>
      </c>
      <c r="D35" s="1">
        <v>28</v>
      </c>
      <c r="I35" s="4" t="s">
        <v>32</v>
      </c>
      <c r="J35" s="1">
        <v>102</v>
      </c>
    </row>
    <row r="36" spans="3:10" x14ac:dyDescent="0.3">
      <c r="C36" s="4" t="s">
        <v>5</v>
      </c>
      <c r="D36" s="1">
        <v>1024</v>
      </c>
      <c r="I36" s="4" t="s">
        <v>29</v>
      </c>
      <c r="J36" s="1">
        <v>201</v>
      </c>
    </row>
    <row r="37" spans="3:10" x14ac:dyDescent="0.3">
      <c r="I37" s="4" t="s">
        <v>31</v>
      </c>
      <c r="J37" s="1">
        <v>610</v>
      </c>
    </row>
    <row r="38" spans="3:10" x14ac:dyDescent="0.3">
      <c r="I38" s="4" t="s">
        <v>5</v>
      </c>
      <c r="J38" s="1">
        <v>1024</v>
      </c>
    </row>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798A-8B1B-4594-816E-A829A66A5851}">
  <dimension ref="A1:S28"/>
  <sheetViews>
    <sheetView tabSelected="1" zoomScale="150" zoomScaleNormal="150" workbookViewId="0">
      <selection activeCell="P9" sqref="P9"/>
    </sheetView>
  </sheetViews>
  <sheetFormatPr defaultRowHeight="14.4" x14ac:dyDescent="0.3"/>
  <cols>
    <col min="18" max="18" width="8.88671875" customWidth="1"/>
  </cols>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6"/>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2C41154-FA1F-4D9E-921A-7AC3926FF9F1}">
  <ds:schemaRefs/>
</ds:datastoreItem>
</file>

<file path=customXml/itemProps2.xml><?xml version="1.0" encoding="utf-8"?>
<ds:datastoreItem xmlns:ds="http://schemas.openxmlformats.org/officeDocument/2006/customXml" ds:itemID="{B8BDC54A-A12A-4581-80C5-837FF95431FE}">
  <ds:schemaRefs/>
</ds:datastoreItem>
</file>

<file path=customXml/itemProps3.xml><?xml version="1.0" encoding="utf-8"?>
<ds:datastoreItem xmlns:ds="http://schemas.openxmlformats.org/officeDocument/2006/customXml" ds:itemID="{C198E45B-8230-4E92-A8A5-07E6E27A1D56}">
  <ds:schemaRefs/>
</ds:datastoreItem>
</file>

<file path=customXml/itemProps4.xml><?xml version="1.0" encoding="utf-8"?>
<ds:datastoreItem xmlns:ds="http://schemas.openxmlformats.org/officeDocument/2006/customXml" ds:itemID="{A1B3AE58-6015-433C-92E4-5805F50863F3}">
  <ds:schemaRefs/>
</ds:datastoreItem>
</file>

<file path=customXml/itemProps5.xml><?xml version="1.0" encoding="utf-8"?>
<ds:datastoreItem xmlns:ds="http://schemas.openxmlformats.org/officeDocument/2006/customXml" ds:itemID="{A8CD2E1D-63D6-434F-A2F2-A1AD2EB401CB}">
  <ds:schemaRefs/>
</ds:datastoreItem>
</file>

<file path=customXml/itemProps6.xml><?xml version="1.0" encoding="utf-8"?>
<ds:datastoreItem xmlns:ds="http://schemas.openxmlformats.org/officeDocument/2006/customXml" ds:itemID="{C347E292-683C-4525-8943-D2AC5EE7F425}">
  <ds:schemaRefs/>
</ds:datastoreItem>
</file>

<file path=customXml/itemProps7.xml><?xml version="1.0" encoding="utf-8"?>
<ds:datastoreItem xmlns:ds="http://schemas.openxmlformats.org/officeDocument/2006/customXml" ds:itemID="{02127222-6A20-427F-B945-5B4AB66B99FA}">
  <ds:schemaRefs/>
</ds:datastoreItem>
</file>

<file path=customXml/itemProps8.xml><?xml version="1.0" encoding="utf-8"?>
<ds:datastoreItem xmlns:ds="http://schemas.openxmlformats.org/officeDocument/2006/customXml" ds:itemID="{5F6E1CCF-92EC-42DF-9A1F-A2C9E9D0A372}">
  <ds:schemaRefs/>
</ds:datastoreItem>
</file>

<file path=customXml/itemProps9.xml><?xml version="1.0" encoding="utf-8"?>
<ds:datastoreItem xmlns:ds="http://schemas.openxmlformats.org/officeDocument/2006/customXml" ds:itemID="{11E6E931-D81E-4805-B12C-7FFF8042B92D}">
  <ds:schemaRefs/>
</ds:datastoreItem>
</file>

<file path=customXml/itemProps10.xml><?xml version="1.0" encoding="utf-8"?>
<ds:datastoreItem xmlns:ds="http://schemas.openxmlformats.org/officeDocument/2006/customXml" ds:itemID="{3132CA01-BFD4-4CBD-A7D8-9F9CF51F15D3}">
  <ds:schemaRefs/>
</ds:datastoreItem>
</file>

<file path=customXml/itemProps11.xml><?xml version="1.0" encoding="utf-8"?>
<ds:datastoreItem xmlns:ds="http://schemas.openxmlformats.org/officeDocument/2006/customXml" ds:itemID="{8BD4A733-2FE5-433C-BAA8-F3654E4E81A9}">
  <ds:schemaRefs>
    <ds:schemaRef ds:uri="http://schemas.microsoft.com/DataMashup"/>
  </ds:schemaRefs>
</ds:datastoreItem>
</file>

<file path=customXml/itemProps12.xml><?xml version="1.0" encoding="utf-8"?>
<ds:datastoreItem xmlns:ds="http://schemas.openxmlformats.org/officeDocument/2006/customXml" ds:itemID="{B1FA034C-DBB0-4514-A5CF-82DA0873E087}">
  <ds:schemaRefs/>
</ds:datastoreItem>
</file>

<file path=customXml/itemProps13.xml><?xml version="1.0" encoding="utf-8"?>
<ds:datastoreItem xmlns:ds="http://schemas.openxmlformats.org/officeDocument/2006/customXml" ds:itemID="{5042A7F2-3301-489B-84DD-6BBA3CCB90CC}">
  <ds:schemaRefs/>
</ds:datastoreItem>
</file>

<file path=customXml/itemProps14.xml><?xml version="1.0" encoding="utf-8"?>
<ds:datastoreItem xmlns:ds="http://schemas.openxmlformats.org/officeDocument/2006/customXml" ds:itemID="{AF8BF428-708C-4592-938D-E2FD11D40313}">
  <ds:schemaRefs/>
</ds:datastoreItem>
</file>

<file path=customXml/itemProps15.xml><?xml version="1.0" encoding="utf-8"?>
<ds:datastoreItem xmlns:ds="http://schemas.openxmlformats.org/officeDocument/2006/customXml" ds:itemID="{8BF0106F-0FA9-4C8F-8B76-95E9223155FC}">
  <ds:schemaRefs/>
</ds:datastoreItem>
</file>

<file path=customXml/itemProps16.xml><?xml version="1.0" encoding="utf-8"?>
<ds:datastoreItem xmlns:ds="http://schemas.openxmlformats.org/officeDocument/2006/customXml" ds:itemID="{777B6C90-970C-4BDD-B396-63450DBFDDA4}">
  <ds:schemaRefs/>
</ds:datastoreItem>
</file>

<file path=customXml/itemProps17.xml><?xml version="1.0" encoding="utf-8"?>
<ds:datastoreItem xmlns:ds="http://schemas.openxmlformats.org/officeDocument/2006/customXml" ds:itemID="{1A77DA48-DCC0-4442-B4C4-6DF7BEC0DD7B}">
  <ds:schemaRefs/>
</ds:datastoreItem>
</file>

<file path=customXml/itemProps18.xml><?xml version="1.0" encoding="utf-8"?>
<ds:datastoreItem xmlns:ds="http://schemas.openxmlformats.org/officeDocument/2006/customXml" ds:itemID="{3F7A564B-8F51-4336-B03E-3549BE47E2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Rubina khan</dc:creator>
  <cp:lastModifiedBy>Rubina khan</cp:lastModifiedBy>
  <dcterms:created xsi:type="dcterms:W3CDTF">2026-07-08T14:56:41Z</dcterms:created>
  <dcterms:modified xsi:type="dcterms:W3CDTF">2026-07-30T17:49:01Z</dcterms:modified>
</cp:coreProperties>
</file>